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ster Roster" sheetId="1" r:id="rId3"/>
    <sheet name="📄LeaderBoard" sheetId="2" r:id="rId4"/>
    <sheet name="Tesla" sheetId="3" r:id="rId5"/>
    <sheet name="Einstein" sheetId="4" r:id="rId6"/>
    <sheet name="Darwin" sheetId="5" r:id="rId7"/>
    <sheet name="Pythagoras" sheetId="6" r:id="rId8"/>
    <sheet name="KeDa" sheetId="7" r:id="rId9"/>
    <sheet name="Cooper" sheetId="8" r:id="rId10"/>
    <sheet name="Jenny" sheetId="9" r:id="rId11"/>
    <sheet name="Tank" sheetId="10" r:id="rId12"/>
    <sheet name="Richard" sheetId="11" r:id="rId13"/>
    <sheet name="Summer" sheetId="12" r:id="rId14"/>
    <sheet name="Julie" sheetId="13" r:id="rId15"/>
    <sheet name="Jiao" sheetId="14" r:id="rId16"/>
  </sheets>
  <calcPr fullCalcOnLoad="true"/>
</workbook>
</file>

<file path=xl/sharedStrings.xml><?xml version="1.0" encoding="utf-8"?>
<sst xmlns="http://schemas.openxmlformats.org/spreadsheetml/2006/main" count="247" uniqueCount="247">
  <si>
    <t/>
  </si>
  <si>
    <t xml:space="preserve"> </t>
  </si>
  <si>
    <t>7 Jul - Monday</t>
  </si>
  <si>
    <t>8 Jul - Tuesday</t>
  </si>
  <si>
    <t>9 Jul - Wednesday</t>
  </si>
  <si>
    <t>10 Jul - Thursday</t>
  </si>
  <si>
    <t>11 Jul - Friday</t>
  </si>
  <si>
    <t>13 Jul - Sunday</t>
  </si>
  <si>
    <t>14 Jul - Monday</t>
  </si>
  <si>
    <t>15 Jul - Tuesday</t>
  </si>
  <si>
    <t>16 Jul - Wednesday</t>
  </si>
  <si>
    <t>17 Jul - Thursday</t>
  </si>
  <si>
    <t>Points</t>
  </si>
  <si>
    <t>Point Deduction - Penalties</t>
  </si>
  <si>
    <t>House</t>
  </si>
  <si>
    <t>Participation &amp; Engagement</t>
  </si>
  <si>
    <t>Teamwork &amp; Respect</t>
  </si>
  <si>
    <t>Academic Excellence</t>
  </si>
  <si>
    <t>Leadership &amp; Initiative</t>
  </si>
  <si>
    <t>Disrespect &amp; Misbehavior</t>
  </si>
  <si>
    <t>Lack of Effort</t>
  </si>
  <si>
    <t>Rule Violations</t>
  </si>
  <si>
    <t>Column1</t>
  </si>
  <si>
    <t>Participation &amp; Engagement2</t>
  </si>
  <si>
    <t>Teamwork &amp; Respect3</t>
  </si>
  <si>
    <t>Academic Excellence4</t>
  </si>
  <si>
    <t>Leadership &amp; Initiative5</t>
  </si>
  <si>
    <t>Disrespect &amp; Misbehavior6</t>
  </si>
  <si>
    <t>Lack of Effort7</t>
  </si>
  <si>
    <t>Rule Violations8</t>
  </si>
  <si>
    <t>Column9</t>
  </si>
  <si>
    <t>Participation &amp; Engagement10</t>
  </si>
  <si>
    <t>Teamwork &amp; Respect11</t>
  </si>
  <si>
    <t>Academic Excellence12</t>
  </si>
  <si>
    <t>Leadership &amp; Initiative13</t>
  </si>
  <si>
    <t>Disrespect &amp; Misbehavior14</t>
  </si>
  <si>
    <t>Lack of Effort15</t>
  </si>
  <si>
    <t>Rule Violations16</t>
  </si>
  <si>
    <t>Column17</t>
  </si>
  <si>
    <t>Participation &amp; Engagement18</t>
  </si>
  <si>
    <t>Teamwork &amp; Respect19</t>
  </si>
  <si>
    <t>Academic Excellence20</t>
  </si>
  <si>
    <t>Leadership &amp; Initiative21</t>
  </si>
  <si>
    <t>Disrespect &amp; Misbehavior22</t>
  </si>
  <si>
    <t>Lack of Effort23</t>
  </si>
  <si>
    <t>Rule Violations24</t>
  </si>
  <si>
    <t>Column25</t>
  </si>
  <si>
    <t>Participation &amp; Engagement26</t>
  </si>
  <si>
    <t>Teamwork &amp; Respect27</t>
  </si>
  <si>
    <t>Academic Excellence28</t>
  </si>
  <si>
    <t>Leadership &amp; Initiative29</t>
  </si>
  <si>
    <t>Disrespect &amp; Misbehavior30</t>
  </si>
  <si>
    <t>Lack of Effort31</t>
  </si>
  <si>
    <t>Rule Violations32</t>
  </si>
  <si>
    <t>Column33</t>
  </si>
  <si>
    <t>Participation &amp; Engagement34</t>
  </si>
  <si>
    <t>Teamwork &amp; Respect35</t>
  </si>
  <si>
    <t>Academic Excellence36</t>
  </si>
  <si>
    <t>Leadership &amp; Initiative37</t>
  </si>
  <si>
    <t>Disrespect &amp; Misbehavior38</t>
  </si>
  <si>
    <t>Lack of Effort39</t>
  </si>
  <si>
    <t>Rule Violations40</t>
  </si>
  <si>
    <t>Column41</t>
  </si>
  <si>
    <t>Participation &amp; Engagement42</t>
  </si>
  <si>
    <t>Teamwork &amp; Respect43</t>
  </si>
  <si>
    <t>Academic Excellence44</t>
  </si>
  <si>
    <t>Leadership &amp; Initiative45</t>
  </si>
  <si>
    <t>Disrespect &amp; Misbehavior46</t>
  </si>
  <si>
    <t>Lack of Effort47</t>
  </si>
  <si>
    <t>Rule Violations48</t>
  </si>
  <si>
    <t>Column49</t>
  </si>
  <si>
    <t>Participation &amp; Engagement50</t>
  </si>
  <si>
    <t>Teamwork &amp; Respect51</t>
  </si>
  <si>
    <t>Academic Excellence52</t>
  </si>
  <si>
    <t>Leadership &amp; Initiative53</t>
  </si>
  <si>
    <t>Disrespect &amp; Misbehavior54</t>
  </si>
  <si>
    <t>Lack of Effort55</t>
  </si>
  <si>
    <t>Rule Violations56</t>
  </si>
  <si>
    <t>Column57</t>
  </si>
  <si>
    <t>Participation &amp; Engagement58</t>
  </si>
  <si>
    <t>Teamwork &amp; Respect59</t>
  </si>
  <si>
    <t>Academic Excellence60</t>
  </si>
  <si>
    <t>Leadership &amp; Initiative61</t>
  </si>
  <si>
    <t>Disrespect &amp; Misbehavior62</t>
  </si>
  <si>
    <t>Lack of Effort63</t>
  </si>
  <si>
    <t>Rule Violations64</t>
  </si>
  <si>
    <t>Column65</t>
  </si>
  <si>
    <t>Participation &amp; Engagement66</t>
  </si>
  <si>
    <t>Teamwork &amp; Respect67</t>
  </si>
  <si>
    <t>Academic Excellence68</t>
  </si>
  <si>
    <t>Leadership &amp; Initiative69</t>
  </si>
  <si>
    <t>Disrespect &amp; Misbehavior70</t>
  </si>
  <si>
    <t>Lack of Effort71</t>
  </si>
  <si>
    <t>Rule Violations72</t>
  </si>
  <si>
    <t>Column73</t>
  </si>
  <si>
    <t>G5</t>
  </si>
  <si>
    <t>Pythagoras</t>
  </si>
  <si>
    <t>G6</t>
  </si>
  <si>
    <t>Tesla</t>
  </si>
  <si>
    <t>G6A</t>
  </si>
  <si>
    <t>Einstein</t>
  </si>
  <si>
    <t>G6B</t>
  </si>
  <si>
    <t>Darwin</t>
  </si>
  <si>
    <t>G6C</t>
  </si>
  <si>
    <t>G7</t>
  </si>
  <si>
    <t>G7B</t>
  </si>
  <si>
    <t>G8</t>
  </si>
  <si>
    <t>House of Pythagoras</t>
  </si>
  <si>
    <t>Point Allocation- Award Points</t>
  </si>
  <si>
    <t>序号No.</t>
  </si>
  <si>
    <t>姓名 Name</t>
  </si>
  <si>
    <t>年级 Grade Level</t>
  </si>
  <si>
    <t>古雨轩 Nancy</t>
  </si>
  <si>
    <t>胡景覃 Jacques</t>
  </si>
  <si>
    <t>谢逸生 Mandy</t>
  </si>
  <si>
    <t>范奕之 Alisa</t>
  </si>
  <si>
    <t>周宇恒 Lucas</t>
  </si>
  <si>
    <t>罗寅   Abel</t>
  </si>
  <si>
    <t>House of Tesla</t>
  </si>
  <si>
    <t>Teamwork &amp; Respect31</t>
  </si>
  <si>
    <t>House of Darwin</t>
  </si>
  <si>
    <t>Science&amp;Math Camp R315&amp;408</t>
  </si>
  <si>
    <t>Language Camp R304&amp;305</t>
  </si>
  <si>
    <t>Teachers</t>
  </si>
  <si>
    <t>HR-LK  Math-Richard  Physics-Keda  Bio-Jenny Chem-Cooper</t>
  </si>
  <si>
    <t>HR-Christine/Talia  English-Summer/Julie</t>
  </si>
  <si>
    <t>KeDa</t>
  </si>
  <si>
    <t>Cooper</t>
  </si>
  <si>
    <t>Tank</t>
  </si>
  <si>
    <t>G9</t>
  </si>
  <si>
    <t>Jenny</t>
  </si>
  <si>
    <t>。</t>
  </si>
  <si>
    <t>Richard</t>
  </si>
  <si>
    <t>Summer</t>
  </si>
  <si>
    <t>Julie</t>
  </si>
  <si>
    <t>Jiao</t>
  </si>
  <si>
    <t>G10</t>
  </si>
  <si>
    <t>G11</t>
  </si>
  <si>
    <t>周睿一stephennie</t>
  </si>
  <si>
    <t>Summer Camp House Leaderboard</t>
  </si>
  <si>
    <t>NOTE: Ensure the student names in each teacher sheet is exactly the same as the student names in the respective houses, otherwise the points won't add up.</t>
  </si>
  <si>
    <t>Days</t>
  </si>
  <si>
    <t>Total Housepoints</t>
  </si>
  <si>
    <t>Point Allocation (Positive Reinforcement – Award Points)
Students earn points for their house through:
A. Participation &amp; Engagement
+5 pts – Active participation in discussions/activities
+10 pts – Leading a group task successfully
+5 pts – Asking thoughtful questions
B. Teamwork &amp; Respect
+10 pts – Helping a peer without being asked
+15 pts – Resolving a conflict peacefully
+5 pts – Encouraging a shy student to participate
C. Academic Excellence
+10 pts – Outstanding homework/project
+15 pts – Creative problem-solving
+20 pts – Winning a quiz/competition
D. Leadership &amp; Initiative
+10 pts – Organizing a team strategy
+15 pts – Volunteering for extra responsibilities
E. Additional Features to Boost Engagement
*Daily Bonus Challenges (e.g., "Best Team Spirit" = +20 pts)</t>
  </si>
  <si>
    <t>Point Deduction (Negative Reinforcement – Penalties)
Students lose points for their house due to:
A. Disrespect &amp; Misbehavior
-10 pts – Disrupting class/being rude
-15 pts – Bullying or exclusion
-20 pts – Cheating/lying
B. Lack of Effort
-5 pts – Not completing homework
-10 pts – Refusing to participate
-15 pts – Sabotaging team efforts
C. Rule Violations
-10 pts – Unauthorized phone/device use
-15 pts – Leaving camp area without permission</t>
  </si>
  <si>
    <t>1 E:K</t>
  </si>
  <si>
    <t>2 M:S</t>
  </si>
  <si>
    <t>3 U:AA</t>
  </si>
  <si>
    <t>4 AC:AI</t>
  </si>
  <si>
    <t>5 AK:AQ</t>
  </si>
  <si>
    <t>6 AS:AY</t>
  </si>
  <si>
    <t>7 BA:BG</t>
  </si>
  <si>
    <t>8 BI:BO</t>
  </si>
  <si>
    <t>9 BQ:BW</t>
  </si>
  <si>
    <t>10 BY:CE</t>
  </si>
  <si>
    <r>
      <rPr>
        <rFont val="宋体"/>
        <b val="true"/>
        <i val="false"/>
        <strike val="false"/>
        <color rgb="FF000000"/>
        <sz val="11"/>
      </rPr>
      <t>序号</t>
    </r>
    <r>
      <rPr>
        <rFont val="Times New Roman"/>
        <b val="true"/>
        <i val="false"/>
        <strike val="false"/>
        <color rgb="FF000000"/>
        <sz val="11"/>
      </rPr>
      <t>No.</t>
    </r>
  </si>
  <si>
    <r>
      <rPr>
        <rFont val="宋体"/>
        <b val="true"/>
        <i val="false"/>
        <strike val="false"/>
        <color rgb="FF000000"/>
        <sz val="11"/>
      </rPr>
      <t>姓名</t>
    </r>
    <r>
      <rPr>
        <rFont val="Times New Roman"/>
        <b val="true"/>
        <i val="false"/>
        <strike val="false"/>
        <color rgb="FF000000"/>
        <sz val="11"/>
      </rPr>
      <t xml:space="preserve"> Name</t>
    </r>
  </si>
  <si>
    <r>
      <rPr>
        <rFont val="宋体"/>
        <b val="true"/>
        <i val="false"/>
        <strike val="false"/>
        <color rgb="FF000000"/>
        <sz val="11"/>
      </rPr>
      <t>年级</t>
    </r>
    <r>
      <rPr>
        <rFont val="Times New Roman"/>
        <b val="true"/>
        <i val="false"/>
        <strike val="false"/>
        <color rgb="FF000000"/>
        <sz val="11"/>
      </rPr>
      <t xml:space="preserve"> Grade Level</t>
    </r>
  </si>
  <si>
    <r>
      <rPr>
        <rFont val="宋体"/>
        <b val="false"/>
        <i val="false"/>
        <strike val="false"/>
        <color rgb="FF000000"/>
        <sz val="11"/>
      </rPr>
      <t>古雨轩</t>
    </r>
    <r>
      <rPr>
        <rFont val="Times New Roman"/>
        <b val="false"/>
        <i val="false"/>
        <strike val="false"/>
        <color rgb="FF000000"/>
        <sz val="11"/>
      </rPr>
      <t xml:space="preserve"> Nancy</t>
    </r>
  </si>
  <si>
    <r>
      <rPr>
        <rFont val="宋体"/>
        <b val="false"/>
        <i val="false"/>
        <strike val="false"/>
        <color rgb="FF000000"/>
        <sz val="11"/>
      </rPr>
      <t>泓仓</t>
    </r>
    <r>
      <rPr>
        <rFont val="Times New Roman"/>
        <b val="false"/>
        <i val="false"/>
        <strike val="false"/>
        <color rgb="FF000000"/>
        <sz val="11"/>
      </rPr>
      <t>·</t>
    </r>
    <r>
      <rPr>
        <rFont val="宋体"/>
        <b val="false"/>
        <i val="false"/>
        <strike val="false"/>
        <color rgb="FF000000"/>
        <sz val="11"/>
      </rPr>
      <t>丹增巴桑</t>
    </r>
    <r>
      <rPr>
        <rFont val="Times New Roman"/>
        <b val="false"/>
        <i val="false"/>
        <strike val="false"/>
        <color rgb="FF000000"/>
        <sz val="11"/>
      </rPr>
      <t>Kriss</t>
    </r>
  </si>
  <si>
    <r>
      <rPr>
        <rFont val="宋体"/>
        <b val="false"/>
        <i val="false"/>
        <strike val="false"/>
        <color rgb="FF000000"/>
        <sz val="11"/>
      </rPr>
      <t>胡景覃</t>
    </r>
    <r>
      <rPr>
        <rFont val="Times New Roman"/>
        <b val="false"/>
        <i val="false"/>
        <strike val="false"/>
        <color rgb="FF000000"/>
        <sz val="11"/>
      </rPr>
      <t xml:space="preserve"> Jacques</t>
    </r>
  </si>
  <si>
    <r>
      <rPr>
        <rFont val="宋体"/>
        <b val="false"/>
        <i val="false"/>
        <strike val="false"/>
        <color rgb="FF000000"/>
        <sz val="11"/>
      </rPr>
      <t>谢逸生</t>
    </r>
    <r>
      <rPr>
        <rFont val="Times New Roman"/>
        <b val="false"/>
        <i val="false"/>
        <strike val="false"/>
        <color rgb="FF000000"/>
        <sz val="11"/>
      </rPr>
      <t xml:space="preserve"> Mandy</t>
    </r>
  </si>
  <si>
    <r>
      <rPr>
        <rFont val="宋体"/>
        <b val="false"/>
        <i val="false"/>
        <strike val="false"/>
        <color rgb="FF000000"/>
        <sz val="11"/>
      </rPr>
      <t>张哲燃</t>
    </r>
    <r>
      <rPr>
        <rFont val="Times New Roman"/>
        <b val="false"/>
        <i val="false"/>
        <strike val="false"/>
        <color rgb="FF000000"/>
        <sz val="11"/>
      </rPr>
      <t xml:space="preserve"> Ethan</t>
    </r>
  </si>
  <si>
    <r>
      <rPr>
        <rFont val="宋体"/>
        <b val="false"/>
        <i val="false"/>
        <strike val="false"/>
        <color rgb="FF000000"/>
        <sz val="11"/>
      </rPr>
      <t>朱航舟</t>
    </r>
    <r>
      <rPr>
        <rFont val="Times New Roman"/>
        <b val="false"/>
        <i val="false"/>
        <strike val="false"/>
        <color rgb="FF000000"/>
        <sz val="11"/>
      </rPr>
      <t xml:space="preserve"> Tim</t>
    </r>
  </si>
  <si>
    <r>
      <rPr>
        <rFont val="宋体"/>
        <b val="false"/>
        <i val="false"/>
        <strike val="false"/>
        <color rgb="FF000000"/>
        <sz val="11"/>
      </rPr>
      <t>吴奕澄</t>
    </r>
    <r>
      <rPr>
        <rFont val="Times New Roman"/>
        <b val="false"/>
        <i val="false"/>
        <strike val="false"/>
        <color rgb="FF000000"/>
        <sz val="11"/>
      </rPr>
      <t xml:space="preserve"> Leo</t>
    </r>
  </si>
  <si>
    <r>
      <rPr>
        <rFont val="宋体"/>
        <b val="false"/>
        <i val="false"/>
        <strike val="false"/>
        <color rgb="FF000000"/>
        <sz val="11"/>
      </rPr>
      <t>宋昱呈</t>
    </r>
    <r>
      <rPr>
        <rFont val="Times New Roman"/>
        <b val="false"/>
        <i val="false"/>
        <strike val="false"/>
        <color rgb="FF000000"/>
        <sz val="11"/>
      </rPr>
      <t xml:space="preserve"> Austin</t>
    </r>
  </si>
  <si>
    <r>
      <rPr>
        <rFont val="宋体"/>
        <b val="false"/>
        <i val="false"/>
        <strike val="false"/>
        <color rgb="FF000000"/>
        <sz val="11"/>
      </rPr>
      <t>黄晓帅</t>
    </r>
    <r>
      <rPr>
        <rFont val="Times New Roman"/>
        <b val="false"/>
        <i val="false"/>
        <strike val="false"/>
        <color rgb="FF000000"/>
        <sz val="11"/>
      </rPr>
      <t xml:space="preserve"> Neo</t>
    </r>
  </si>
  <si>
    <r>
      <rPr>
        <rFont val="宋体"/>
        <b val="false"/>
        <i val="false"/>
        <strike val="false"/>
        <color rgb="FF000000"/>
        <sz val="11"/>
      </rPr>
      <t>曲国宇</t>
    </r>
    <r>
      <rPr>
        <rFont val="Times New Roman"/>
        <b val="false"/>
        <i val="false"/>
        <strike val="false"/>
        <color rgb="FF000000"/>
        <sz val="11"/>
      </rPr>
      <t xml:space="preserve"> Quincy</t>
    </r>
  </si>
  <si>
    <r>
      <rPr>
        <rFont val="宋体"/>
        <b val="false"/>
        <i val="false"/>
        <strike val="false"/>
        <color rgb="FF000000"/>
        <sz val="11"/>
      </rPr>
      <t>余金武</t>
    </r>
    <r>
      <rPr>
        <rFont val="Times New Roman"/>
        <b val="false"/>
        <i val="false"/>
        <strike val="false"/>
        <color rgb="FF000000"/>
        <sz val="11"/>
      </rPr>
      <t xml:space="preserve"> Tim</t>
    </r>
  </si>
  <si>
    <r>
      <rPr>
        <rFont val="宋体"/>
        <b val="false"/>
        <i val="false"/>
        <strike val="false"/>
        <color rgb="FF000000"/>
        <sz val="11"/>
      </rPr>
      <t>祁骁汉</t>
    </r>
    <r>
      <rPr>
        <rFont val="Times New Roman"/>
        <b val="false"/>
        <i val="false"/>
        <strike val="false"/>
        <color rgb="FF000000"/>
        <sz val="11"/>
      </rPr>
      <t xml:space="preserve"> Shawn</t>
    </r>
  </si>
  <si>
    <r>
      <rPr>
        <rFont val="宋体"/>
        <b val="false"/>
        <i val="false"/>
        <strike val="false"/>
        <color rgb="FF000000"/>
        <sz val="11"/>
      </rPr>
      <t>童浩</t>
    </r>
    <r>
      <rPr>
        <rFont val="Times New Roman"/>
        <b val="false"/>
        <i val="false"/>
        <strike val="false"/>
        <color rgb="FF000000"/>
        <sz val="11"/>
      </rPr>
      <t>   Sunny</t>
    </r>
  </si>
  <si>
    <r>
      <rPr>
        <rFont val="宋体"/>
        <b val="false"/>
        <i val="false"/>
        <strike val="false"/>
        <color rgb="FF000000"/>
        <sz val="11"/>
      </rPr>
      <t>范奕之</t>
    </r>
    <r>
      <rPr>
        <rFont val="Times New Roman"/>
        <b val="false"/>
        <i val="false"/>
        <strike val="false"/>
        <color rgb="FF000000"/>
        <sz val="11"/>
      </rPr>
      <t xml:space="preserve"> Alisa</t>
    </r>
  </si>
  <si>
    <r>
      <rPr>
        <rFont val="宋体"/>
        <b val="false"/>
        <i val="false"/>
        <strike val="false"/>
        <color rgb="FF000000"/>
        <sz val="11"/>
      </rPr>
      <t>刘俊熙</t>
    </r>
    <r>
      <rPr>
        <rFont val="Times New Roman"/>
        <b val="false"/>
        <i val="false"/>
        <strike val="false"/>
        <color rgb="FF000000"/>
        <sz val="11"/>
      </rPr>
      <t xml:space="preserve"> Junxi</t>
    </r>
  </si>
  <si>
    <r>
      <rPr>
        <rFont val="宋体"/>
        <b val="false"/>
        <i val="false"/>
        <strike val="false"/>
        <color rgb="FF000000"/>
        <sz val="11"/>
      </rPr>
      <t>董佳琦</t>
    </r>
    <r>
      <rPr>
        <rFont val="Times New Roman"/>
        <b val="false"/>
        <i val="false"/>
        <strike val="false"/>
        <color rgb="FF000000"/>
        <sz val="11"/>
      </rPr>
      <t xml:space="preserve"> Lucy</t>
    </r>
  </si>
  <si>
    <r>
      <rPr>
        <rFont val="宋体"/>
        <b val="false"/>
        <i val="false"/>
        <strike val="false"/>
        <color rgb="FF000000"/>
        <sz val="11"/>
      </rPr>
      <t>陈飞霖</t>
    </r>
    <r>
      <rPr>
        <rFont val="Times New Roman"/>
        <b val="false"/>
        <i val="false"/>
        <strike val="false"/>
        <color rgb="FF000000"/>
        <sz val="11"/>
      </rPr>
      <t xml:space="preserve"> Felix</t>
    </r>
  </si>
  <si>
    <r>
      <rPr>
        <rFont val="宋体"/>
        <b val="false"/>
        <i val="false"/>
        <strike val="false"/>
        <color rgb="FF000000"/>
        <sz val="11"/>
      </rPr>
      <t>廖小迪</t>
    </r>
    <r>
      <rPr>
        <rFont val="Times New Roman"/>
        <b val="false"/>
        <i val="false"/>
        <strike val="false"/>
        <color rgb="FF000000"/>
        <sz val="11"/>
      </rPr>
      <t xml:space="preserve"> Shirley</t>
    </r>
  </si>
  <si>
    <r>
      <rPr>
        <rFont val="宋体"/>
        <b val="false"/>
        <i val="false"/>
        <strike val="false"/>
        <color rgb="FF000000"/>
        <sz val="11"/>
      </rPr>
      <t>袁尽唯</t>
    </r>
    <r>
      <rPr>
        <rFont val="Times New Roman"/>
        <b val="false"/>
        <i val="false"/>
        <strike val="false"/>
        <color rgb="FF000000"/>
        <sz val="11"/>
      </rPr>
      <t xml:space="preserve"> Lucy</t>
    </r>
  </si>
  <si>
    <r>
      <rPr>
        <rFont val="宋体"/>
        <b val="false"/>
        <i val="false"/>
        <strike val="false"/>
        <color rgb="FF000000"/>
        <sz val="11"/>
      </rPr>
      <t>薛宏浚</t>
    </r>
    <r>
      <rPr>
        <rFont val="Times New Roman"/>
        <b val="false"/>
        <i val="false"/>
        <strike val="false"/>
        <color rgb="FF000000"/>
        <sz val="11"/>
      </rPr>
      <t xml:space="preserve"> Alan</t>
    </r>
  </si>
  <si>
    <r>
      <rPr>
        <rFont val="宋体"/>
        <b val="false"/>
        <i val="false"/>
        <strike val="false"/>
        <color rgb="FF000000"/>
        <sz val="11"/>
      </rPr>
      <t>周宇恒</t>
    </r>
    <r>
      <rPr>
        <rFont val="Times New Roman"/>
        <b val="false"/>
        <i val="false"/>
        <strike val="false"/>
        <color rgb="FF000000"/>
        <sz val="11"/>
      </rPr>
      <t xml:space="preserve"> Lucas</t>
    </r>
  </si>
  <si>
    <r>
      <rPr>
        <rFont val="宋体"/>
        <b val="false"/>
        <i val="false"/>
        <strike val="false"/>
        <color rgb="FF000000"/>
        <sz val="11"/>
      </rPr>
      <t>任潇然</t>
    </r>
    <r>
      <rPr>
        <rFont val="Times New Roman"/>
        <b val="false"/>
        <i val="false"/>
        <strike val="false"/>
        <color rgb="FF000000"/>
        <sz val="11"/>
      </rPr>
      <t xml:space="preserve"> Ryan</t>
    </r>
  </si>
  <si>
    <r>
      <rPr>
        <rFont val="宋体"/>
        <b val="false"/>
        <i val="false"/>
        <strike val="false"/>
        <color rgb="FF000000"/>
        <sz val="11"/>
      </rPr>
      <t>周予馨</t>
    </r>
    <r>
      <rPr>
        <rFont val="Times New Roman"/>
        <b val="false"/>
        <i val="false"/>
        <strike val="false"/>
        <color rgb="FF000000"/>
        <sz val="11"/>
      </rPr>
      <t xml:space="preserve"> Cindy</t>
    </r>
  </si>
  <si>
    <r>
      <rPr>
        <rFont val="宋体"/>
        <b val="false"/>
        <i val="false"/>
        <strike val="false"/>
        <color rgb="FF000000"/>
        <sz val="11"/>
      </rPr>
      <t>齐屿轩</t>
    </r>
    <r>
      <rPr>
        <rFont val="Times New Roman"/>
        <b val="false"/>
        <i val="false"/>
        <strike val="false"/>
        <color rgb="FF000000"/>
        <sz val="11"/>
      </rPr>
      <t xml:space="preserve"> Susan</t>
    </r>
  </si>
  <si>
    <r>
      <rPr>
        <rFont val="宋体"/>
        <b val="false"/>
        <i val="false"/>
        <strike val="false"/>
        <color rgb="FF000000"/>
        <sz val="11"/>
      </rPr>
      <t>雷欣玥</t>
    </r>
    <r>
      <rPr>
        <rFont val="Times New Roman"/>
        <b val="false"/>
        <i val="false"/>
        <strike val="false"/>
        <color rgb="FF000000"/>
        <sz val="11"/>
      </rPr>
      <t xml:space="preserve"> Moon</t>
    </r>
  </si>
  <si>
    <r>
      <rPr>
        <rFont val="宋体"/>
        <b val="false"/>
        <i val="false"/>
        <strike val="false"/>
        <color rgb="FF000000"/>
        <sz val="11"/>
      </rPr>
      <t>张慧娜</t>
    </r>
    <r>
      <rPr>
        <rFont val="Times New Roman"/>
        <b val="false"/>
        <i val="false"/>
        <strike val="false"/>
        <color rgb="FF000000"/>
        <sz val="11"/>
      </rPr>
      <t xml:space="preserve"> Anna</t>
    </r>
  </si>
  <si>
    <r>
      <rPr>
        <rFont val="宋体"/>
        <b val="false"/>
        <i val="false"/>
        <strike val="false"/>
        <color rgb="FF000000"/>
        <sz val="11"/>
      </rPr>
      <t>罗寅</t>
    </r>
    <r>
      <rPr>
        <rFont val="Times New Roman"/>
        <b val="false"/>
        <i val="false"/>
        <strike val="false"/>
        <color rgb="FF000000"/>
        <sz val="11"/>
      </rPr>
      <t>   Abel</t>
    </r>
  </si>
  <si>
    <r>
      <rPr>
        <rFont val="宋体"/>
        <b val="false"/>
        <i val="false"/>
        <strike val="false"/>
        <color rgb="FF404040"/>
        <sz val="12"/>
      </rPr>
      <t>余海晨</t>
    </r>
    <r>
      <rPr>
        <rFont val="Times New Roman"/>
        <b val="false"/>
        <i val="false"/>
        <strike val="false"/>
        <color rgb="FF404040"/>
        <sz val="12"/>
      </rPr>
      <t xml:space="preserve"> Harrison G9</t>
    </r>
  </si>
  <si>
    <r>
      <rPr>
        <rFont val="宋体"/>
        <b val="false"/>
        <i val="false"/>
        <strike val="false"/>
        <color rgb="FF404040"/>
        <sz val="12"/>
      </rPr>
      <t>李思源</t>
    </r>
    <r>
      <rPr>
        <rFont val="Times New Roman"/>
        <b val="false"/>
        <i val="false"/>
        <strike val="false"/>
        <color rgb="FF404040"/>
        <sz val="12"/>
      </rPr>
      <t xml:space="preserve"> Philip G10</t>
    </r>
  </si>
  <si>
    <r>
      <rPr>
        <rFont val="宋体"/>
        <b val="false"/>
        <i val="false"/>
        <strike val="false"/>
        <color rgb="FF404040"/>
        <sz val="12"/>
      </rPr>
      <t>刘嘉琪</t>
    </r>
    <r>
      <rPr>
        <rFont val="Times New Roman"/>
        <b val="false"/>
        <i val="false"/>
        <strike val="false"/>
        <color rgb="FF404040"/>
        <sz val="12"/>
      </rPr>
      <t xml:space="preserve"> Angel G11</t>
    </r>
  </si>
  <si>
    <r>
      <rPr>
        <rFont val="宋体"/>
        <b val="false"/>
        <i val="false"/>
        <strike val="false"/>
        <color rgb="FF404040"/>
        <sz val="12"/>
      </rPr>
      <t>周睿一</t>
    </r>
    <r>
      <rPr>
        <rFont val="Times New Roman"/>
        <b val="false"/>
        <i val="false"/>
        <strike val="false"/>
        <color rgb="FF404040"/>
        <sz val="12"/>
      </rPr>
      <t xml:space="preserve"> G9</t>
    </r>
  </si>
  <si>
    <r>
      <rPr>
        <rFont val="宋体"/>
        <b val="false"/>
        <i val="false"/>
        <strike val="false"/>
        <color rgb="FF000000"/>
        <sz val="16"/>
      </rPr>
      <t>胡景覃</t>
    </r>
    <r>
      <rPr>
        <rFont val="Times New Roman"/>
        <b val="false"/>
        <i val="false"/>
        <strike val="false"/>
        <color rgb="FF000000"/>
        <sz val="16"/>
      </rPr>
      <t xml:space="preserve"> Jacques</t>
    </r>
  </si>
  <si>
    <r>
      <rPr>
        <rFont val="宋体"/>
        <b val="false"/>
        <i val="false"/>
        <strike val="false"/>
        <color rgb="FF000000"/>
        <sz val="16"/>
      </rPr>
      <t>谢逸生</t>
    </r>
    <r>
      <rPr>
        <rFont val="Times New Roman"/>
        <b val="false"/>
        <i val="false"/>
        <strike val="false"/>
        <color rgb="FF000000"/>
        <sz val="16"/>
      </rPr>
      <t xml:space="preserve"> Mandy</t>
    </r>
  </si>
  <si>
    <r>
      <rPr>
        <rFont val="宋体"/>
        <b val="false"/>
        <i val="false"/>
        <strike val="false"/>
        <color rgb="FF000000"/>
        <sz val="16"/>
      </rPr>
      <t>张哲燃</t>
    </r>
    <r>
      <rPr>
        <rFont val="Times New Roman"/>
        <b val="false"/>
        <i val="false"/>
        <strike val="false"/>
        <color rgb="FF000000"/>
        <sz val="16"/>
      </rPr>
      <t xml:space="preserve"> Ethan</t>
    </r>
  </si>
  <si>
    <r>
      <rPr>
        <rFont val="宋体"/>
        <b val="false"/>
        <i val="false"/>
        <strike val="false"/>
        <color rgb="FF000000"/>
        <sz val="16"/>
      </rPr>
      <t>朱航舟</t>
    </r>
    <r>
      <rPr>
        <rFont val="Times New Roman"/>
        <b val="false"/>
        <i val="false"/>
        <strike val="false"/>
        <color rgb="FF000000"/>
        <sz val="16"/>
      </rPr>
      <t xml:space="preserve"> Tim</t>
    </r>
  </si>
  <si>
    <r>
      <rPr>
        <rFont val="宋体"/>
        <b val="false"/>
        <i val="false"/>
        <strike val="false"/>
        <color rgb="FF000000"/>
        <sz val="16"/>
      </rPr>
      <t>吴奕澄</t>
    </r>
    <r>
      <rPr>
        <rFont val="Times New Roman"/>
        <b val="false"/>
        <i val="false"/>
        <strike val="false"/>
        <color rgb="FF000000"/>
        <sz val="16"/>
      </rPr>
      <t xml:space="preserve"> Leo</t>
    </r>
  </si>
  <si>
    <r>
      <rPr>
        <rFont val="宋体"/>
        <b val="false"/>
        <i val="false"/>
        <strike val="false"/>
        <color rgb="FF000000"/>
        <sz val="16"/>
      </rPr>
      <t>宋昱呈</t>
    </r>
    <r>
      <rPr>
        <rFont val="Times New Roman"/>
        <b val="false"/>
        <i val="false"/>
        <strike val="false"/>
        <color rgb="FF000000"/>
        <sz val="16"/>
      </rPr>
      <t xml:space="preserve"> Austin</t>
    </r>
  </si>
  <si>
    <r>
      <rPr>
        <rFont val="宋体"/>
        <b val="false"/>
        <i val="false"/>
        <strike val="false"/>
        <color rgb="FF000000"/>
        <sz val="16"/>
      </rPr>
      <t>黄晓帅</t>
    </r>
    <r>
      <rPr>
        <rFont val="Times New Roman"/>
        <b val="false"/>
        <i val="false"/>
        <strike val="false"/>
        <color rgb="FF000000"/>
        <sz val="16"/>
      </rPr>
      <t xml:space="preserve"> Neo</t>
    </r>
  </si>
  <si>
    <r>
      <rPr>
        <rFont val="宋体"/>
        <b val="false"/>
        <i val="false"/>
        <strike val="false"/>
        <color rgb="FF000000"/>
        <sz val="16"/>
      </rPr>
      <t>曲国宇</t>
    </r>
    <r>
      <rPr>
        <rFont val="Times New Roman"/>
        <b val="false"/>
        <i val="false"/>
        <strike val="false"/>
        <color rgb="FF000000"/>
        <sz val="16"/>
      </rPr>
      <t xml:space="preserve"> Quincy</t>
    </r>
  </si>
  <si>
    <r>
      <rPr>
        <rFont val="宋体"/>
        <b val="false"/>
        <i val="false"/>
        <strike val="false"/>
        <color rgb="FF000000"/>
        <sz val="16"/>
      </rPr>
      <t>余金武</t>
    </r>
    <r>
      <rPr>
        <rFont val="Times New Roman"/>
        <b val="false"/>
        <i val="false"/>
        <strike val="false"/>
        <color rgb="FF000000"/>
        <sz val="16"/>
      </rPr>
      <t xml:space="preserve"> Tim</t>
    </r>
  </si>
  <si>
    <r>
      <rPr>
        <rFont val="宋体"/>
        <b val="false"/>
        <i val="false"/>
        <strike val="false"/>
        <color rgb="FF000000"/>
        <sz val="16"/>
      </rPr>
      <t>祁骁汉</t>
    </r>
    <r>
      <rPr>
        <rFont val="Times New Roman"/>
        <b val="false"/>
        <i val="false"/>
        <strike val="false"/>
        <color rgb="FF000000"/>
        <sz val="16"/>
      </rPr>
      <t xml:space="preserve"> Shawn</t>
    </r>
  </si>
  <si>
    <r>
      <rPr>
        <rFont val="宋体"/>
        <b val="false"/>
        <i val="false"/>
        <strike val="false"/>
        <color rgb="FF000000"/>
        <sz val="16"/>
      </rPr>
      <t>童浩</t>
    </r>
    <r>
      <rPr>
        <rFont val="Times New Roman"/>
        <b val="false"/>
        <i val="false"/>
        <strike val="false"/>
        <color rgb="FF000000"/>
        <sz val="16"/>
      </rPr>
      <t>   Sunny</t>
    </r>
  </si>
  <si>
    <r>
      <rPr>
        <rFont val="宋体"/>
        <b val="false"/>
        <i val="false"/>
        <strike val="false"/>
        <color rgb="FF000000"/>
        <sz val="16"/>
      </rPr>
      <t>范奕之</t>
    </r>
    <r>
      <rPr>
        <rFont val="Times New Roman"/>
        <b val="false"/>
        <i val="false"/>
        <strike val="false"/>
        <color rgb="FF000000"/>
        <sz val="16"/>
      </rPr>
      <t xml:space="preserve"> Alisa</t>
    </r>
  </si>
  <si>
    <r>
      <rPr>
        <rFont val="宋体"/>
        <b val="false"/>
        <i val="false"/>
        <strike val="false"/>
        <color rgb="FF000000"/>
        <sz val="16"/>
      </rPr>
      <t>刘俊熙</t>
    </r>
    <r>
      <rPr>
        <rFont val="Times New Roman"/>
        <b val="false"/>
        <i val="false"/>
        <strike val="false"/>
        <color rgb="FF000000"/>
        <sz val="16"/>
      </rPr>
      <t xml:space="preserve"> Junxi</t>
    </r>
  </si>
  <si>
    <r>
      <rPr>
        <rFont val="宋体"/>
        <b val="false"/>
        <i val="false"/>
        <strike val="false"/>
        <color rgb="FF000000"/>
        <sz val="16"/>
      </rPr>
      <t>董佳琦</t>
    </r>
    <r>
      <rPr>
        <rFont val="Times New Roman"/>
        <b val="false"/>
        <i val="false"/>
        <strike val="false"/>
        <color rgb="FF000000"/>
        <sz val="16"/>
      </rPr>
      <t xml:space="preserve"> Lucy</t>
    </r>
  </si>
  <si>
    <r>
      <rPr>
        <rFont val="宋体"/>
        <b val="false"/>
        <i val="false"/>
        <strike val="false"/>
        <color rgb="FF000000"/>
        <sz val="16"/>
      </rPr>
      <t>陈飞霖</t>
    </r>
    <r>
      <rPr>
        <rFont val="Times New Roman"/>
        <b val="false"/>
        <i val="false"/>
        <strike val="false"/>
        <color rgb="FF000000"/>
        <sz val="16"/>
      </rPr>
      <t xml:space="preserve"> Felix</t>
    </r>
  </si>
  <si>
    <r>
      <rPr>
        <rFont val="宋体"/>
        <b val="false"/>
        <i val="false"/>
        <strike val="false"/>
        <color rgb="FF000000"/>
        <sz val="16"/>
      </rPr>
      <t>廖小迪</t>
    </r>
    <r>
      <rPr>
        <rFont val="Times New Roman"/>
        <b val="false"/>
        <i val="false"/>
        <strike val="false"/>
        <color rgb="FF000000"/>
        <sz val="16"/>
      </rPr>
      <t xml:space="preserve"> Shirley</t>
    </r>
  </si>
  <si>
    <r>
      <rPr>
        <rFont val="宋体"/>
        <b val="false"/>
        <i val="false"/>
        <strike val="false"/>
        <color rgb="FF000000"/>
        <sz val="16"/>
      </rPr>
      <t>袁尽唯</t>
    </r>
    <r>
      <rPr>
        <rFont val="Times New Roman"/>
        <b val="false"/>
        <i val="false"/>
        <strike val="false"/>
        <color rgb="FF000000"/>
        <sz val="16"/>
      </rPr>
      <t xml:space="preserve"> Lucy</t>
    </r>
  </si>
  <si>
    <r>
      <rPr>
        <rFont val="宋体"/>
        <b val="false"/>
        <i val="false"/>
        <strike val="false"/>
        <color rgb="FF000000"/>
        <sz val="16"/>
      </rPr>
      <t>薛宏浚</t>
    </r>
    <r>
      <rPr>
        <rFont val="Times New Roman"/>
        <b val="false"/>
        <i val="false"/>
        <strike val="false"/>
        <color rgb="FF000000"/>
        <sz val="16"/>
      </rPr>
      <t xml:space="preserve"> Alan</t>
    </r>
  </si>
  <si>
    <r>
      <rPr>
        <rFont val="宋体"/>
        <b val="false"/>
        <i val="false"/>
        <strike val="false"/>
        <color rgb="FF000000"/>
        <sz val="16"/>
      </rPr>
      <t>周宇恒</t>
    </r>
    <r>
      <rPr>
        <rFont val="Times New Roman"/>
        <b val="false"/>
        <i val="false"/>
        <strike val="false"/>
        <color rgb="FF000000"/>
        <sz val="16"/>
      </rPr>
      <t xml:space="preserve"> Lucas</t>
    </r>
  </si>
  <si>
    <r>
      <rPr>
        <rFont val="宋体"/>
        <b val="false"/>
        <i val="false"/>
        <strike val="false"/>
        <color rgb="FF000000"/>
        <sz val="16"/>
      </rPr>
      <t>任潇然</t>
    </r>
    <r>
      <rPr>
        <rFont val="Times New Roman"/>
        <b val="false"/>
        <i val="false"/>
        <strike val="false"/>
        <color rgb="FF000000"/>
        <sz val="16"/>
      </rPr>
      <t xml:space="preserve"> Ryan</t>
    </r>
  </si>
  <si>
    <r>
      <rPr>
        <rFont val="宋体"/>
        <b val="false"/>
        <i val="false"/>
        <strike val="false"/>
        <color rgb="FF000000"/>
        <sz val="16"/>
      </rPr>
      <t>周予馨</t>
    </r>
    <r>
      <rPr>
        <rFont val="Times New Roman"/>
        <b val="false"/>
        <i val="false"/>
        <strike val="false"/>
        <color rgb="FF000000"/>
        <sz val="16"/>
      </rPr>
      <t xml:space="preserve"> Cindy</t>
    </r>
  </si>
  <si>
    <r>
      <rPr>
        <rFont val="宋体"/>
        <b val="false"/>
        <i val="false"/>
        <strike val="false"/>
        <color rgb="FF000000"/>
        <sz val="16"/>
      </rPr>
      <t>齐屿轩</t>
    </r>
    <r>
      <rPr>
        <rFont val="Times New Roman"/>
        <b val="false"/>
        <i val="false"/>
        <strike val="false"/>
        <color rgb="FF000000"/>
        <sz val="16"/>
      </rPr>
      <t xml:space="preserve"> Susan</t>
    </r>
  </si>
  <si>
    <r>
      <rPr>
        <rFont val="宋体"/>
        <b val="false"/>
        <i val="false"/>
        <strike val="false"/>
        <color rgb="FF000000"/>
        <sz val="16"/>
      </rPr>
      <t>雷欣玥</t>
    </r>
    <r>
      <rPr>
        <rFont val="Times New Roman"/>
        <b val="false"/>
        <i val="false"/>
        <strike val="false"/>
        <color rgb="FF000000"/>
        <sz val="16"/>
      </rPr>
      <t xml:space="preserve"> Moon</t>
    </r>
  </si>
  <si>
    <r>
      <rPr>
        <rFont val="宋体"/>
        <b val="false"/>
        <i val="false"/>
        <strike val="false"/>
        <color rgb="FF000000"/>
        <sz val="16"/>
      </rPr>
      <t>张慧娜</t>
    </r>
    <r>
      <rPr>
        <rFont val="Times New Roman"/>
        <b val="false"/>
        <i val="false"/>
        <strike val="false"/>
        <color rgb="FF000000"/>
        <sz val="16"/>
      </rPr>
      <t xml:space="preserve"> Anna</t>
    </r>
  </si>
  <si>
    <r>
      <rPr>
        <rFont val="宋体"/>
        <b val="false"/>
        <i val="false"/>
        <strike val="false"/>
        <color rgb="FF000000"/>
        <sz val="16"/>
      </rPr>
      <t>罗寅</t>
    </r>
    <r>
      <rPr>
        <rFont val="Times New Roman"/>
        <b val="false"/>
        <i val="false"/>
        <strike val="false"/>
        <color rgb="FF000000"/>
        <sz val="16"/>
      </rPr>
      <t>   Abel</t>
    </r>
  </si>
  <si>
    <r>
      <rPr>
        <rFont val="宋体"/>
        <b val="false"/>
        <i val="false"/>
        <strike val="false"/>
        <color rgb="FF404040"/>
        <sz val="12"/>
      </rPr>
      <t>胡清源</t>
    </r>
    <r>
      <rPr>
        <rFont val="Times New Roman"/>
        <b val="false"/>
        <i val="false"/>
        <strike val="false"/>
        <color rgb="FF404040"/>
        <sz val="12"/>
      </rPr>
      <t xml:space="preserve"> Lucas G9</t>
    </r>
  </si>
  <si>
    <r>
      <rPr>
        <rFont val="宋体"/>
        <b val="false"/>
        <i val="false"/>
        <strike val="false"/>
        <color rgb="FF404040"/>
        <sz val="12"/>
      </rPr>
      <t>刘信杰</t>
    </r>
    <r>
      <rPr>
        <rFont val="Times New Roman"/>
        <b val="false"/>
        <i val="false"/>
        <strike val="false"/>
        <color rgb="FF404040"/>
        <sz val="12"/>
      </rPr>
      <t xml:space="preserve"> Jerry G9</t>
    </r>
  </si>
  <si>
    <r>
      <rPr>
        <rFont val="宋体"/>
        <b val="false"/>
        <i val="false"/>
        <strike val="false"/>
        <color rgb="FF404040"/>
        <sz val="12"/>
      </rPr>
      <t>黄薇扬</t>
    </r>
    <r>
      <rPr>
        <rFont val="Times New Roman"/>
        <b val="false"/>
        <i val="false"/>
        <strike val="false"/>
        <color rgb="FF404040"/>
        <sz val="12"/>
      </rPr>
      <t xml:space="preserve"> Camille G10</t>
    </r>
  </si>
  <si>
    <r>
      <rPr>
        <rFont val="宋体"/>
        <b val="false"/>
        <i val="false"/>
        <strike val="false"/>
        <color rgb="FF404040"/>
        <sz val="12"/>
      </rPr>
      <t>张莹菲儿</t>
    </r>
    <r>
      <rPr>
        <rFont val="Times New Roman"/>
        <b val="false"/>
        <i val="false"/>
        <strike val="false"/>
        <color rgb="FF404040"/>
        <sz val="12"/>
      </rPr>
      <t xml:space="preserve"> Phoebe G11</t>
    </r>
  </si>
  <si>
    <r>
      <rPr>
        <rFont val="宋体"/>
        <b val="false"/>
        <i val="false"/>
        <strike val="false"/>
        <color rgb="FF404040"/>
        <sz val="12"/>
      </rPr>
      <t>刘知行</t>
    </r>
    <r>
      <rPr>
        <rFont val="Times New Roman"/>
        <b val="false"/>
        <i val="false"/>
        <strike val="false"/>
        <color rgb="FF404040"/>
        <sz val="12"/>
      </rPr>
      <t xml:space="preserve"> Ballie G8</t>
    </r>
  </si>
  <si>
    <r>
      <rPr>
        <rFont val="宋体"/>
        <b val="false"/>
        <i val="false"/>
        <strike val="false"/>
        <color rgb="FF404040"/>
        <sz val="12"/>
      </rPr>
      <t>徐媛媛</t>
    </r>
    <r>
      <rPr>
        <rFont val="Times New Roman"/>
        <b val="false"/>
        <i val="false"/>
        <strike val="false"/>
        <color rgb="FF404040"/>
        <sz val="12"/>
      </rPr>
      <t xml:space="preserve"> Lucky G9</t>
    </r>
  </si>
  <si>
    <r>
      <rPr>
        <rFont val="宋体"/>
        <b val="false"/>
        <i val="false"/>
        <strike val="false"/>
        <color rgb="FF404040"/>
        <sz val="12"/>
      </rPr>
      <t>吴佳兴</t>
    </r>
    <r>
      <rPr>
        <rFont val="Times New Roman"/>
        <b val="false"/>
        <i val="false"/>
        <strike val="false"/>
        <color rgb="FF404040"/>
        <sz val="12"/>
      </rPr>
      <t xml:space="preserve"> Owen G9</t>
    </r>
  </si>
  <si>
    <r>
      <rPr>
        <rFont val="宋体"/>
        <b val="false"/>
        <i val="false"/>
        <strike val="false"/>
        <color rgb="FF404040"/>
        <sz val="12"/>
      </rPr>
      <t>刘芷鸢</t>
    </r>
    <r>
      <rPr>
        <rFont val="Times New Roman"/>
        <b val="false"/>
        <i val="false"/>
        <strike val="false"/>
        <color rgb="FF404040"/>
        <sz val="12"/>
      </rPr>
      <t xml:space="preserve"> Iris G10</t>
    </r>
  </si>
  <si>
    <r>
      <rPr>
        <rFont val="宋体"/>
        <b val="false"/>
        <i val="false"/>
        <strike val="false"/>
        <color rgb="FF000000"/>
        <sz val="11"/>
      </rPr>
      <t>序号</t>
    </r>
    <r>
      <rPr>
        <rFont val="Times New Roman"/>
        <b val="false"/>
        <i val="false"/>
        <strike val="false"/>
        <color rgb="FF000000"/>
        <sz val="11"/>
      </rPr>
      <t>No.</t>
    </r>
  </si>
  <si>
    <r>
      <rPr>
        <rFont val="宋体"/>
        <b val="false"/>
        <i val="false"/>
        <strike val="false"/>
        <color rgb="FF000000"/>
        <sz val="11"/>
      </rPr>
      <t>姓名</t>
    </r>
    <r>
      <rPr>
        <rFont val="Times New Roman"/>
        <b val="false"/>
        <i val="false"/>
        <strike val="false"/>
        <color rgb="FF000000"/>
        <sz val="11"/>
      </rPr>
      <t xml:space="preserve"> Name</t>
    </r>
  </si>
  <si>
    <r>
      <rPr>
        <rFont val="宋体"/>
        <b val="false"/>
        <i val="false"/>
        <strike val="false"/>
        <color rgb="FF000000"/>
        <sz val="11"/>
      </rPr>
      <t>年级</t>
    </r>
    <r>
      <rPr>
        <rFont val="Times New Roman"/>
        <b val="false"/>
        <i val="false"/>
        <strike val="false"/>
        <color rgb="FF000000"/>
        <sz val="11"/>
      </rPr>
      <t xml:space="preserve"> Grade Level</t>
    </r>
  </si>
  <si>
    <r>
      <rPr>
        <rFont val="宋体"/>
        <b val="false"/>
        <i val="false"/>
        <strike val="false"/>
        <color rgb="FF000000"/>
        <sz val="11"/>
      </rPr>
      <t>刘知行</t>
    </r>
    <r>
      <rPr>
        <rFont val="Times New Roman"/>
        <b val="false"/>
        <i val="false"/>
        <strike val="false"/>
        <color rgb="FF000000"/>
        <sz val="11"/>
      </rPr>
      <t xml:space="preserve"> Ballie</t>
    </r>
  </si>
  <si>
    <r>
      <rPr>
        <rFont val="宋体"/>
        <b val="false"/>
        <i val="false"/>
        <strike val="false"/>
        <color rgb="FFDE3C36"/>
        <sz val="11"/>
      </rPr>
      <t>泓仓</t>
    </r>
    <r>
      <rPr>
        <rFont val="Times New Roman"/>
        <b val="false"/>
        <i val="false"/>
        <strike val="false"/>
        <color rgb="FFDE3C36"/>
        <sz val="11"/>
      </rPr>
      <t>·</t>
    </r>
    <r>
      <rPr>
        <rFont val="宋体"/>
        <b val="false"/>
        <i val="false"/>
        <strike val="false"/>
        <color rgb="FFDE3C36"/>
        <sz val="11"/>
      </rPr>
      <t>丹增巴桑</t>
    </r>
    <r>
      <rPr>
        <rFont val="Times New Roman"/>
        <b val="false"/>
        <i val="false"/>
        <strike val="false"/>
        <color rgb="FFDE3C36"/>
        <sz val="11"/>
      </rPr>
      <t>Kriss</t>
    </r>
  </si>
  <si>
    <r>
      <rPr>
        <rFont val="宋体"/>
        <b val="false"/>
        <i val="false"/>
        <strike val="false"/>
        <color rgb="FF000000"/>
        <sz val="11"/>
      </rPr>
      <t>于海晨</t>
    </r>
    <r>
      <rPr>
        <rFont val="Times New Roman"/>
        <b val="false"/>
        <i val="false"/>
        <strike val="false"/>
        <color rgb="FF000000"/>
        <sz val="11"/>
      </rPr>
      <t xml:space="preserve"> Harrison</t>
    </r>
  </si>
  <si>
    <r>
      <rPr>
        <rFont val="宋体"/>
        <b val="false"/>
        <i val="false"/>
        <strike val="false"/>
        <color rgb="FF000000"/>
        <sz val="11"/>
      </rPr>
      <t>胡清源</t>
    </r>
    <r>
      <rPr>
        <rFont val="Times New Roman"/>
        <b val="false"/>
        <i val="false"/>
        <strike val="false"/>
        <color rgb="FF000000"/>
        <sz val="11"/>
      </rPr>
      <t xml:space="preserve"> Lucas</t>
    </r>
  </si>
  <si>
    <r>
      <rPr>
        <rFont val="宋体"/>
        <b val="false"/>
        <i val="false"/>
        <strike val="false"/>
        <color rgb="FF000000"/>
        <sz val="11"/>
      </rPr>
      <t>刘信杰</t>
    </r>
    <r>
      <rPr>
        <rFont val="Times New Roman"/>
        <b val="false"/>
        <i val="false"/>
        <strike val="false"/>
        <color rgb="FF000000"/>
        <sz val="11"/>
      </rPr>
      <t xml:space="preserve"> Jerry</t>
    </r>
  </si>
  <si>
    <r>
      <rPr>
        <rFont val="宋体"/>
        <b val="false"/>
        <i val="false"/>
        <strike val="false"/>
        <color rgb="FF000000"/>
        <sz val="11"/>
      </rPr>
      <t>吴佳兴</t>
    </r>
    <r>
      <rPr>
        <rFont val="Times New Roman"/>
        <b val="false"/>
        <i val="false"/>
        <strike val="false"/>
        <color rgb="FF000000"/>
        <sz val="11"/>
      </rPr>
      <t xml:space="preserve"> Owen</t>
    </r>
  </si>
  <si>
    <r>
      <rPr>
        <rFont val="宋体"/>
        <b val="false"/>
        <i val="false"/>
        <strike val="false"/>
        <color rgb="FFDE3C36"/>
        <sz val="11"/>
        <u val="none"/>
      </rPr>
      <t>朱航舟</t>
    </r>
    <r>
      <rPr>
        <rFont val="Times New Roman"/>
        <b val="false"/>
        <i val="false"/>
        <strike val="false"/>
        <color rgb="FFDE3C36"/>
        <sz val="11"/>
        <u val="none"/>
      </rPr>
      <t xml:space="preserve"> Tim Zhou</t>
    </r>
  </si>
  <si>
    <r>
      <rPr>
        <rFont val="宋体"/>
        <b val="false"/>
        <i val="false"/>
        <strike val="false"/>
        <color rgb="FF000000"/>
        <sz val="11"/>
      </rPr>
      <t>王震言</t>
    </r>
    <r>
      <rPr>
        <rFont val="Times New Roman"/>
        <b val="false"/>
        <i val="false"/>
        <strike val="false"/>
        <color rgb="FF000000"/>
        <sz val="11"/>
      </rPr>
      <t xml:space="preserve"> Wayne</t>
    </r>
  </si>
  <si>
    <r>
      <rPr>
        <rFont val="宋体"/>
        <b val="false"/>
        <i val="false"/>
        <strike val="false"/>
        <color rgb="FF000000"/>
        <sz val="11"/>
      </rPr>
      <t>陈翼</t>
    </r>
    <r>
      <rPr>
        <rFont val="Times New Roman"/>
        <b val="false"/>
        <i val="false"/>
        <strike val="false"/>
        <color rgb="FF000000"/>
        <sz val="11"/>
      </rPr>
      <t xml:space="preserve"> Eden</t>
    </r>
  </si>
  <si>
    <r>
      <rPr>
        <rFont val="宋体"/>
        <b val="false"/>
        <i val="false"/>
        <strike val="false"/>
        <color rgb="FF000000"/>
        <sz val="11"/>
        <u val="none"/>
      </rPr>
      <t>宋昱呈</t>
    </r>
    <r>
      <rPr>
        <rFont val="Times New Roman"/>
        <b val="false"/>
        <i val="false"/>
        <strike val="false"/>
        <color rgb="FF000000"/>
        <sz val="11"/>
        <u val="none"/>
      </rPr>
      <t xml:space="preserve"> Austin</t>
    </r>
  </si>
  <si>
    <r>
      <rPr>
        <rFont val="宋体"/>
        <b val="false"/>
        <i val="false"/>
        <strike val="false"/>
        <color rgb="FF000000"/>
        <sz val="11"/>
      </rPr>
      <t>舒诗涵</t>
    </r>
    <r>
      <rPr>
        <rFont val="Times New Roman"/>
        <b val="false"/>
        <i val="false"/>
        <strike val="false"/>
        <color rgb="FF000000"/>
        <sz val="11"/>
      </rPr>
      <t xml:space="preserve"> Sonnet</t>
    </r>
  </si>
  <si>
    <r>
      <rPr>
        <rFont val="宋体"/>
        <b val="false"/>
        <i val="false"/>
        <strike val="false"/>
        <color rgb="FFDE3C36"/>
        <sz val="11"/>
        <u val="none"/>
      </rPr>
      <t>黄晓帅</t>
    </r>
    <r>
      <rPr>
        <rFont val="Times New Roman"/>
        <b val="false"/>
        <i val="false"/>
        <strike val="false"/>
        <color rgb="FFDE3C36"/>
        <sz val="11"/>
        <u val="none"/>
      </rPr>
      <t xml:space="preserve"> Neo</t>
    </r>
  </si>
  <si>
    <r>
      <rPr>
        <rFont val="宋体"/>
        <b val="false"/>
        <i val="false"/>
        <strike val="false"/>
        <color rgb="FF000000"/>
        <sz val="11"/>
      </rPr>
      <t>徐媛媛</t>
    </r>
    <r>
      <rPr>
        <rFont val="Times New Roman"/>
        <b val="false"/>
        <i val="false"/>
        <strike val="false"/>
        <color rgb="FF000000"/>
        <sz val="11"/>
      </rPr>
      <t xml:space="preserve"> Lucky</t>
    </r>
  </si>
  <si>
    <r>
      <rPr>
        <rFont val="宋体"/>
        <b val="false"/>
        <i val="false"/>
        <strike val="false"/>
        <color rgb="FF000000"/>
        <sz val="11"/>
      </rPr>
      <t>李思源</t>
    </r>
    <r>
      <rPr>
        <rFont val="Times New Roman"/>
        <b val="false"/>
        <i val="false"/>
        <strike val="false"/>
        <color rgb="FF000000"/>
        <sz val="11"/>
      </rPr>
      <t xml:space="preserve"> Philip</t>
    </r>
  </si>
  <si>
    <r>
      <rPr>
        <rFont val="宋体"/>
        <b val="false"/>
        <i val="false"/>
        <strike val="false"/>
        <color rgb="FF000000"/>
        <sz val="11"/>
        <u val="none"/>
      </rPr>
      <t>余金武</t>
    </r>
    <r>
      <rPr>
        <rFont val="Times New Roman"/>
        <b val="false"/>
        <i val="false"/>
        <strike val="false"/>
        <color rgb="FF000000"/>
        <sz val="11"/>
        <u val="none"/>
      </rPr>
      <t xml:space="preserve"> Tim Yu</t>
    </r>
  </si>
  <si>
    <r>
      <rPr>
        <rFont val="宋体"/>
        <b val="false"/>
        <i val="false"/>
        <strike val="false"/>
        <color rgb="FF000000"/>
        <sz val="11"/>
      </rPr>
      <t>刘芷鸢</t>
    </r>
    <r>
      <rPr>
        <rFont val="Times New Roman"/>
        <b val="false"/>
        <i val="false"/>
        <strike val="false"/>
        <color rgb="FF000000"/>
        <sz val="11"/>
      </rPr>
      <t xml:space="preserve"> Iris</t>
    </r>
  </si>
  <si>
    <r>
      <rPr>
        <rFont val="宋体"/>
        <b val="false"/>
        <i val="false"/>
        <strike val="false"/>
        <color rgb="FF000000"/>
        <sz val="11"/>
      </rPr>
      <t>黄薇扬</t>
    </r>
    <r>
      <rPr>
        <rFont val="Times New Roman"/>
        <b val="false"/>
        <i val="false"/>
        <strike val="false"/>
        <color rgb="FF000000"/>
        <sz val="11"/>
      </rPr>
      <t xml:space="preserve"> Camille</t>
    </r>
  </si>
  <si>
    <r>
      <rPr>
        <rFont val="宋体"/>
        <b val="false"/>
        <i val="false"/>
        <strike val="false"/>
        <color rgb="FF000000"/>
        <sz val="11"/>
      </rPr>
      <t>刘嘉琪</t>
    </r>
    <r>
      <rPr>
        <rFont val="Times New Roman"/>
        <b val="false"/>
        <i val="false"/>
        <strike val="false"/>
        <color rgb="FF000000"/>
        <sz val="11"/>
      </rPr>
      <t xml:space="preserve"> Angel</t>
    </r>
  </si>
  <si>
    <r>
      <rPr>
        <rFont val="宋体"/>
        <b val="false"/>
        <i val="false"/>
        <strike val="false"/>
        <color rgb="FF000000"/>
        <sz val="11"/>
      </rPr>
      <t>张莹菲儿</t>
    </r>
    <r>
      <rPr>
        <rFont val="Times New Roman"/>
        <b val="false"/>
        <i val="false"/>
        <strike val="false"/>
        <color rgb="FF000000"/>
        <sz val="11"/>
      </rPr>
      <t xml:space="preserve"> Phoebe</t>
    </r>
  </si>
  <si>
    <r>
      <rPr>
        <rFont val="宋体"/>
        <b val="false"/>
        <i val="false"/>
        <strike val="false"/>
        <color rgb="FF000000"/>
        <sz val="11"/>
      </rPr>
      <t>谢润墨</t>
    </r>
    <r>
      <rPr>
        <rFont val="Times New Roman"/>
        <b val="false"/>
        <i val="false"/>
        <strike val="false"/>
        <color rgb="FF000000"/>
        <sz val="11"/>
      </rPr>
      <t xml:space="preserve"> Jason</t>
    </r>
  </si>
  <si>
    <r>
      <rPr>
        <rFont val="宋体"/>
        <b val="false"/>
        <i val="false"/>
        <strike val="false"/>
        <color rgb="FF000000"/>
        <sz val="11"/>
        <u val="none"/>
      </rPr>
      <t>董佳琦</t>
    </r>
    <r>
      <rPr>
        <rFont val="Times New Roman"/>
        <b val="false"/>
        <i val="false"/>
        <strike val="false"/>
        <color rgb="FF000000"/>
        <sz val="11"/>
        <u val="none"/>
      </rPr>
      <t xml:space="preserve"> Lucy Dong</t>
    </r>
  </si>
  <si>
    <r>
      <rPr>
        <rFont val="宋体"/>
        <b val="false"/>
        <i val="false"/>
        <strike val="false"/>
        <color rgb="FF000000"/>
        <sz val="11"/>
        <u val="none"/>
      </rPr>
      <t>袁尽唯</t>
    </r>
    <r>
      <rPr>
        <rFont val="Times New Roman"/>
        <b val="false"/>
        <i val="false"/>
        <strike val="false"/>
        <color rgb="FF000000"/>
        <sz val="11"/>
        <u val="none"/>
      </rPr>
      <t xml:space="preserve"> Lucy Yuan</t>
    </r>
  </si>
</sst>
</file>

<file path=xl/styles.xml><?xml version="1.0" encoding="utf-8"?>
<styleSheet xmlns="http://schemas.openxmlformats.org/spreadsheetml/2006/main">
  <numFmts count="1">
    <numFmt numFmtId="300" formatCode="0_ "/>
  </numFmts>
  <fonts count="18">
    <font>
      <name val="等线"/>
      <charset val="134"/>
      <family val="2"/>
      <color theme="1"/>
      <sz val="10"/>
      <scheme val="minor"/>
    </font>
    <font>
      <name val="等线"/>
      <color rgb="FF175CEB"/>
      <sz val="10"/>
      <u/>
      <scheme val="minor"/>
    </font>
    <font>
      <name val="Calibri"/>
      <sz val="11"/>
    </font>
    <font>
      <name val="Times New Roman"/>
      <b val="true"/>
      <sz val="18"/>
    </font>
    <font>
      <name val="Times New Roman"/>
      <sz val="11"/>
    </font>
    <font>
      <name val="宋体"/>
      <sz val="11"/>
    </font>
    <font>
      <name val="宋体"/>
      <b val="true"/>
      <sz val="11"/>
    </font>
    <font>
      <name val="Times New Roman"/>
      <b val="true"/>
      <sz val="11"/>
    </font>
    <font>
      <name val="Times New Roman"/>
      <color rgb="FF000000"/>
      <sz val="11"/>
    </font>
    <font>
      <name val="Times New Roman"/>
      <b val="true"/>
      <sz val="14"/>
    </font>
    <font>
      <name val="宋体"/>
      <color rgb="FF404040"/>
      <sz val="12"/>
    </font>
    <font>
      <name val="Times New Roman"/>
      <color rgb="FF404040"/>
      <sz val="12"/>
    </font>
    <font>
      <name val="Times New Roman"/>
      <sz val="16"/>
    </font>
    <font>
      <name val="宋体"/>
      <sz val="16"/>
    </font>
    <font>
      <name val="Times New Roman"/>
      <sz val="12"/>
    </font>
    <font>
      <name val="Times New Roman"/>
      <color rgb="FFDE3C36"/>
      <sz val="11"/>
    </font>
    <font>
      <name val="Calibri"/>
      <color rgb="FFFFFFFF"/>
      <sz val="16"/>
    </font>
    <font>
      <name val="Calibri"/>
      <sz val="16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3F2D9"/>
        <bgColor rgb="FF000000"/>
      </patternFill>
    </fill>
    <fill>
      <patternFill patternType="solid">
        <fgColor rgb="FFFADADE"/>
        <bgColor rgb="FF000000"/>
      </patternFill>
    </fill>
    <fill>
      <patternFill patternType="solid">
        <fgColor rgb="FFADD88D"/>
        <bgColor rgb="FF000000"/>
      </patternFill>
    </fill>
    <fill>
      <patternFill patternType="solid">
        <fgColor rgb="FF91AADF"/>
        <bgColor rgb="FF000000"/>
      </patternFill>
    </fill>
    <fill>
      <patternFill patternType="solid">
        <fgColor rgb="FFF9CBAA"/>
        <bgColor rgb="FF000000"/>
      </patternFill>
    </fill>
    <fill>
      <patternFill patternType="solid">
        <fgColor rgb="FFFEE796"/>
        <bgColor rgb="FF000000"/>
      </patternFill>
    </fill>
    <fill>
      <patternFill patternType="solid">
        <fgColor rgb="FFF4B7BE"/>
        <bgColor rgb="FF000000"/>
      </patternFill>
    </fill>
    <fill>
      <patternFill patternType="solid">
        <fgColor rgb="FF7CDED7"/>
        <bgColor rgb="FF000000"/>
      </patternFill>
    </fill>
    <fill>
      <patternFill patternType="solid">
        <fgColor rgb="FF319B62"/>
        <bgColor rgb="FF000000"/>
      </patternFill>
    </fill>
    <fill>
      <patternFill patternType="solid">
        <fgColor rgb="FFFFF3EB"/>
        <bgColor rgb="FF000000"/>
      </patternFill>
    </fill>
    <fill>
      <patternFill patternType="solid">
        <fgColor rgb="FFE5F6FF"/>
        <bgColor auto="true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4874C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874CB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>
    <xf numFmtId="0" fontId="0" fillId="0" borderId="0" xfId="0">
      <alignment vertical="center"/>
    </xf>
  </cellStyleXfs>
  <cellXfs count="104">
    <xf numFmtId="0" fontId="0" fillId="0" borderId="0" xfId="0">
      <alignment vertical="center"/>
    </xf>
    <xf numFmtId="0" fontId="1" fillId="0" borderId="0" xfId="0">
      <alignment vertical="center"/>
    </xf>
    <xf fontId="0" fillId="0" borderId="0" xfId="0">
      <alignment vertical="center"/>
    </xf>
    <xf fontId="2" fillId="2" borderId="1" xfId="0">
      <alignment vertical="bottom"/>
    </xf>
    <xf fontId="2" fillId="2" borderId="2" xfId="0">
      <alignment vertical="bottom"/>
    </xf>
    <xf fontId="3" fillId="0" borderId="2" xfId="0">
      <alignment horizontal="center" vertical="center"/>
    </xf>
    <xf fontId="0" fillId="0" borderId="2" xfId="0">
      <alignment vertical="center"/>
    </xf>
    <xf fontId="3" fillId="2" borderId="2" xfId="0">
      <alignment vertical="center"/>
    </xf>
    <xf fontId="4" fillId="2" borderId="2" xfId="0">
      <alignment vertical="center"/>
    </xf>
    <xf fontId="4" fillId="2" borderId="3" xfId="0">
      <alignment vertical="center"/>
    </xf>
    <xf fontId="4" fillId="2" borderId="4" xfId="0">
      <alignment vertical="center"/>
    </xf>
    <xf fontId="5" fillId="2" borderId="4" xfId="0">
      <alignment horizontal="center" vertical="center"/>
    </xf>
    <xf fontId="4" fillId="3" borderId="2" xfId="0">
      <alignment horizontal="center" vertical="center"/>
    </xf>
    <xf fontId="4" fillId="4" borderId="2" xfId="0">
      <alignment horizontal="center" vertical="center"/>
    </xf>
    <xf fontId="6" fillId="5" borderId="4" xfId="0">
      <alignment vertical="center"/>
    </xf>
    <xf fontId="6" fillId="5" borderId="4" xfId="0">
      <alignment horizontal="center" vertical="center"/>
    </xf>
    <xf fontId="7" fillId="0" borderId="4" xfId="0">
      <alignment vertical="center"/>
    </xf>
    <xf fontId="7" fillId="2" borderId="4" xfId="0">
      <alignment vertical="center"/>
    </xf>
    <xf fontId="7" fillId="2" borderId="5" xfId="0">
      <alignment vertical="center"/>
    </xf>
    <xf fontId="4" fillId="6" borderId="4" xfId="0">
      <alignment horizontal="center" vertical="center"/>
    </xf>
    <xf fontId="4" fillId="6" borderId="4" xfId="0">
      <alignment vertical="center"/>
    </xf>
    <xf numFmtId="300" fontId="8" fillId="0" borderId="4" xfId="0">
      <alignment vertical="center"/>
    </xf>
    <xf numFmtId="300" fontId="8" fillId="2" borderId="4" xfId="0">
      <alignment vertical="center"/>
    </xf>
    <xf fontId="4" fillId="7" borderId="4" xfId="0">
      <alignment horizontal="center" vertical="center"/>
    </xf>
    <xf fontId="4" fillId="7" borderId="4" xfId="0">
      <alignment vertical="center"/>
    </xf>
    <xf fontId="4" fillId="8" borderId="4" xfId="0">
      <alignment horizontal="center" vertical="center"/>
    </xf>
    <xf fontId="4" fillId="8" borderId="4" xfId="0">
      <alignment vertical="center"/>
    </xf>
    <xf fontId="4" fillId="9" borderId="4" xfId="0">
      <alignment horizontal="center" vertical="center"/>
    </xf>
    <xf fontId="4" fillId="9" borderId="4" xfId="0">
      <alignment vertical="center"/>
    </xf>
    <xf fontId="4" fillId="8" borderId="2" xfId="0">
      <alignment horizontal="center" vertical="center"/>
    </xf>
    <xf fontId="5" fillId="8" borderId="4" xfId="0">
      <alignment vertical="center"/>
    </xf>
    <xf fontId="4" fillId="6" borderId="6" xfId="0">
      <alignment horizontal="center" vertical="center"/>
    </xf>
    <xf fontId="4" fillId="6" borderId="7" xfId="0">
      <alignment vertical="center"/>
    </xf>
    <xf fontId="9" fillId="6" borderId="0" xfId="0">
      <alignment vertical="center"/>
    </xf>
    <xf fontId="9" fillId="6" borderId="0" xfId="0">
      <alignment horizontal="left" vertical="center"/>
    </xf>
    <xf fontId="4" fillId="3" borderId="0" xfId="0">
      <alignment horizontal="center" vertical="center"/>
    </xf>
    <xf fontId="4" fillId="4" borderId="0" xfId="0">
      <alignment horizontal="center" vertical="center"/>
    </xf>
    <xf fontId="5" fillId="6" borderId="0" xfId="0">
      <alignment vertical="center"/>
    </xf>
    <xf fontId="4" fillId="0" borderId="0" xfId="0">
      <alignment vertical="center"/>
    </xf>
    <xf fontId="4" fillId="5" borderId="0" xfId="0">
      <alignment horizontal="center" vertical="center"/>
    </xf>
    <xf fontId="10" fillId="5" borderId="0" xfId="0">
      <alignment vertical="center" wrapText="true"/>
    </xf>
    <xf fontId="4" fillId="0" borderId="0" xfId="0">
      <alignment vertical="center" wrapText="true"/>
    </xf>
    <xf fontId="4" fillId="10" borderId="0" xfId="0">
      <alignment horizontal="center" vertical="center"/>
    </xf>
    <xf fontId="10" fillId="10" borderId="0" xfId="0">
      <alignment vertical="center" wrapText="true"/>
    </xf>
    <xf fontId="2" fillId="0" borderId="0" xfId="0">
      <alignment vertical="bottom"/>
    </xf>
    <xf fontId="11" fillId="10" borderId="0" xfId="0">
      <alignment vertical="center" wrapText="true"/>
    </xf>
    <xf fontId="12" fillId="6" borderId="4" xfId="0">
      <alignment vertical="center"/>
    </xf>
    <xf fontId="12" fillId="7" borderId="4" xfId="0">
      <alignment vertical="center"/>
    </xf>
    <xf fontId="12" fillId="8" borderId="4" xfId="0">
      <alignment vertical="center"/>
    </xf>
    <xf fontId="12" fillId="9" borderId="4" xfId="0">
      <alignment vertical="center"/>
    </xf>
    <xf fontId="13" fillId="8" borderId="4" xfId="0">
      <alignment vertical="center"/>
    </xf>
    <xf fontId="12" fillId="6" borderId="7" xfId="0">
      <alignment vertical="center"/>
    </xf>
    <xf fontId="9" fillId="7" borderId="0" xfId="0">
      <alignment vertical="center"/>
    </xf>
    <xf fontId="9" fillId="7" borderId="0" xfId="0">
      <alignment horizontal="left" vertical="center"/>
    </xf>
    <xf fontId="6" fillId="5" borderId="8" xfId="0">
      <alignment vertical="center"/>
    </xf>
    <xf fontId="6" fillId="5" borderId="9" xfId="0">
      <alignment vertical="center"/>
    </xf>
    <xf fontId="6" fillId="5" borderId="9" xfId="0">
      <alignment horizontal="center" vertical="center"/>
    </xf>
    <xf fontId="4" fillId="8" borderId="10" xfId="0">
      <alignment horizontal="center" vertical="center"/>
    </xf>
    <xf fontId="9" fillId="9" borderId="0" xfId="0">
      <alignment vertical="center"/>
    </xf>
    <xf fontId="6" fillId="5" borderId="1" xfId="0">
      <alignment vertical="center"/>
    </xf>
    <xf fontId="6" fillId="5" borderId="2" xfId="0">
      <alignment vertical="center"/>
    </xf>
    <xf fontId="6" fillId="5" borderId="2" xfId="0">
      <alignment horizontal="center" vertical="center"/>
    </xf>
    <xf fontId="4" fillId="9" borderId="3" xfId="0">
      <alignment horizontal="center" vertical="center"/>
    </xf>
    <xf fontId="4" fillId="9" borderId="3" xfId="0">
      <alignment vertical="center"/>
    </xf>
    <xf fontId="9" fillId="5" borderId="1" xfId="0">
      <alignment horizontal="center" vertical="center"/>
    </xf>
    <xf fontId="0" fillId="0" borderId="1" xfId="0">
      <alignment vertical="center"/>
    </xf>
    <xf fontId="9" fillId="0" borderId="0" xfId="0">
      <alignment vertical="center"/>
    </xf>
    <xf fontId="9" fillId="10" borderId="1" xfId="0">
      <alignment horizontal="center" vertical="center"/>
    </xf>
    <xf fontId="14" fillId="5" borderId="1" xfId="0">
      <alignment horizontal="center" vertical="center"/>
    </xf>
    <xf fontId="4" fillId="10" borderId="1" xfId="0">
      <alignment horizontal="center" vertical="center"/>
    </xf>
    <xf fontId="5" fillId="5" borderId="3" xfId="0">
      <alignment vertical="center"/>
    </xf>
    <xf fontId="5" fillId="5" borderId="4" xfId="0">
      <alignment vertical="center"/>
    </xf>
    <xf fontId="4" fillId="10" borderId="3" xfId="0">
      <alignment vertical="center"/>
    </xf>
    <xf fontId="4" fillId="10" borderId="4" xfId="0">
      <alignment vertical="center"/>
    </xf>
    <xf fontId="4" fillId="6" borderId="3" xfId="0">
      <alignment horizontal="center" vertical="center"/>
    </xf>
    <xf fontId="4" fillId="9" borderId="4" xfId="0">
      <alignment vertical="bottom"/>
    </xf>
    <xf fontId="15" fillId="6" borderId="4" xfId="0">
      <alignment vertical="center"/>
    </xf>
    <xf fontId="4" fillId="6" borderId="4" xfId="0">
      <alignment vertical="bottom"/>
    </xf>
    <xf fontId="4" fillId="7" borderId="3" xfId="0">
      <alignment horizontal="center" vertical="center"/>
    </xf>
    <xf fontId="4" fillId="7" borderId="4" xfId="0">
      <alignment vertical="bottom"/>
    </xf>
    <xf fontId="5" fillId="9" borderId="4" xfId="0">
      <alignment vertical="bottom"/>
    </xf>
    <xf fontId="4" fillId="8" borderId="3" xfId="0">
      <alignment horizontal="center" vertical="center"/>
    </xf>
    <xf fontId="4" fillId="8" borderId="4" xfId="0">
      <alignment vertical="bottom"/>
    </xf>
    <xf fontId="8" fillId="8" borderId="4" xfId="0">
      <alignment vertical="center"/>
    </xf>
    <xf fontId="5" fillId="6" borderId="4" xfId="0">
      <alignment vertical="center"/>
    </xf>
    <xf fontId="4" fillId="0" borderId="0" xfId="0">
      <alignment horizontal="center" vertical="center"/>
    </xf>
    <xf fontId="16" fillId="11" borderId="1" xfId="0">
      <alignment horizontal="center" vertical="center"/>
    </xf>
    <xf fontId="17" fillId="12" borderId="0" xfId="0">
      <alignment horizontal="center" vertical="center"/>
    </xf>
    <xf fontId="17" fillId="6" borderId="3" xfId="0">
      <alignment horizontal="center" vertical="top"/>
    </xf>
    <xf fontId="17" fillId="7" borderId="4" xfId="0">
      <alignment horizontal="center" vertical="top"/>
    </xf>
    <xf fontId="17" fillId="8" borderId="4" xfId="0">
      <alignment horizontal="center" vertical="top"/>
    </xf>
    <xf fontId="17" fillId="9" borderId="4" xfId="0">
      <alignment horizontal="center" vertical="top"/>
    </xf>
    <xf fontId="17" fillId="12" borderId="3" xfId="0">
      <alignment horizontal="center" vertical="top"/>
    </xf>
    <xf numFmtId="0" fontId="17" fillId="13" borderId="4" xfId="0">
      <alignment horizontal="center" vertical="center"/>
    </xf>
    <xf fontId="17" fillId="13" borderId="4" xfId="0">
      <alignment horizontal="center" vertical="center"/>
    </xf>
    <xf fontId="17" fillId="12" borderId="3" xfId="0">
      <alignment horizontal="center" vertical="center"/>
    </xf>
    <xf fontId="17" fillId="12" borderId="11" xfId="0">
      <alignment horizontal="center" vertical="center"/>
    </xf>
    <xf fontId="17" fillId="13" borderId="12" xfId="0">
      <alignment horizontal="center" vertical="center"/>
    </xf>
    <xf fontId="4" fillId="0" borderId="13" xfId="0">
      <alignment vertical="top" wrapText="true"/>
    </xf>
    <xf fontId="0" fillId="0" borderId="13" xfId="0">
      <alignment vertical="center"/>
    </xf>
    <xf fontId="4" fillId="0" borderId="14" xfId="0">
      <alignment vertical="top" wrapText="true"/>
    </xf>
    <xf fontId="0" fillId="0" borderId="14" xfId="0">
      <alignment vertical="center"/>
    </xf>
    <xf numFmtId="0" fontId="0" fillId="0" borderId="0" xfId="0">
      <alignment vertical="center"/>
    </xf>
    <xf numFmtId="0" fontId="8" fillId="0" borderId="4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12" Type="http://schemas.openxmlformats.org/officeDocument/2006/relationships/worksheet" Target="worksheets/sheet10.xml" /><Relationship Id="rId15" Type="http://schemas.openxmlformats.org/officeDocument/2006/relationships/worksheet" Target="worksheets/sheet13.xml" /><Relationship Id="rId8" Type="http://schemas.openxmlformats.org/officeDocument/2006/relationships/worksheet" Target="worksheets/sheet6.xml" /><Relationship Id="rId13" Type="http://schemas.openxmlformats.org/officeDocument/2006/relationships/worksheet" Target="worksheets/sheet11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6" Type="http://schemas.openxmlformats.org/officeDocument/2006/relationships/worksheet" Target="worksheets/sheet14.xml" /><Relationship Id="rId11" Type="http://schemas.openxmlformats.org/officeDocument/2006/relationships/worksheet" Target="worksheets/sheet9.xml" /><Relationship Id="rId10" Type="http://schemas.openxmlformats.org/officeDocument/2006/relationships/worksheet" Target="worksheets/sheet8.xml" /><Relationship Id="rId14" Type="http://schemas.openxmlformats.org/officeDocument/2006/relationships/worksheet" Target="worksheets/sheet12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7" Type="http://schemas.openxmlformats.org/officeDocument/2006/relationships/worksheet" Target="worksheets/sheet5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6" Type="http://schemas.openxmlformats.org/officeDocument/2006/relationships/worksheet" Target="worksheets/sheet4.xml" /></Relationships>
</file>

<file path=xl/theme/theme1.xml><?xml version="1.0" encoding="utf-8"?>
<a:theme xmlns:thm15="http://schemas.microsoft.com/office/thememl/2012/main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Master Roster"/>
  <dimension ref="G30"/>
  <sheetViews>
    <sheetView showGridLines="true" workbookViewId="0"/>
  </sheetViews>
  <cols>
    <col min="1" max="1" width="8.71094" customWidth="true"/>
    <col min="2" max="2" width="25.7109" customWidth="true"/>
    <col min="3" max="3" width="24.7109" customWidth="true"/>
    <col min="4" max="4" width="14.7109" customWidth="true"/>
    <col min="5" max="5" width="8.71094" customWidth="true"/>
    <col min="6" max="6" width="18.7109" customWidth="true"/>
    <col min="7" max="7" width="19.7109" customWidth="true"/>
  </cols>
  <sheetData>
    <row r="1" spans="1:9">
      <c r="A1" s="64" t="s">
        <v>121</v>
      </c>
      <c r="B1" s="65" t="s"/>
      <c r="C1" s="65" t="s"/>
      <c r="D1" s="66" t="s">
        <v>1</v>
      </c>
      <c r="E1" s="67" t="s">
        <v>122</v>
      </c>
      <c r="F1" s="65" t="s"/>
      <c r="G1" s="65" t="s"/>
      <c r="I1" t="s">
        <v>123</v>
      </c>
    </row>
    <row r="2" spans="1:9" ht="29.25" customHeight="true">
      <c r="A2" s="68" t="s">
        <v>124</v>
      </c>
      <c r="B2" s="65" t="s"/>
      <c r="C2" s="65" t="s"/>
      <c r="D2" s="44" t="s"/>
      <c r="E2" s="69" t="s">
        <v>125</v>
      </c>
      <c r="F2" s="65" t="s"/>
      <c r="G2" s="65" t="s"/>
      <c r="I2" t="s">
        <v>126</v>
      </c>
    </row>
    <row r="3" spans="1:9">
      <c r="A3" s="70" t="s">
        <v>222</v>
      </c>
      <c r="B3" s="71" t="s">
        <v>223</v>
      </c>
      <c r="C3" s="71" t="s">
        <v>224</v>
      </c>
      <c r="D3" s="38" t="s">
        <v>1</v>
      </c>
      <c r="E3" s="72" t="s">
        <v>222</v>
      </c>
      <c r="F3" s="73" t="s">
        <v>223</v>
      </c>
      <c r="G3" s="73" t="s">
        <v>224</v>
      </c>
      <c r="I3" t="s">
        <v>127</v>
      </c>
    </row>
    <row r="4" spans="1:9">
      <c r="A4" s="74">
        <v>1</v>
      </c>
      <c r="B4" s="20" t="s">
        <v>158</v>
      </c>
      <c r="C4" s="20" t="s">
        <v>95</v>
      </c>
      <c r="D4" s="38" t="s">
        <v>1</v>
      </c>
      <c r="E4" s="62">
        <v>1</v>
      </c>
      <c r="F4" s="75" t="s">
        <v>225</v>
      </c>
      <c r="G4" s="75" t="s">
        <v>106</v>
      </c>
      <c r="I4" t="s">
        <v>128</v>
      </c>
    </row>
    <row r="5" spans="1:9">
      <c r="A5" s="74">
        <v>2</v>
      </c>
      <c r="B5" s="76" t="s">
        <v>226</v>
      </c>
      <c r="C5" s="20" t="s">
        <v>95</v>
      </c>
      <c r="D5" s="38" t="s">
        <v>1</v>
      </c>
      <c r="E5" s="74">
        <v>2</v>
      </c>
      <c r="F5" s="77" t="s">
        <v>227</v>
      </c>
      <c r="G5" s="77" t="s">
        <v>129</v>
      </c>
      <c r="I5" t="s">
        <v>130</v>
      </c>
    </row>
    <row r="6" spans="1:9">
      <c r="A6" s="74">
        <v>3</v>
      </c>
      <c r="B6" s="20" t="s">
        <v>160</v>
      </c>
      <c r="C6" s="20" t="s">
        <v>97</v>
      </c>
      <c r="D6" s="38" t="s">
        <v>131</v>
      </c>
      <c r="E6" s="78">
        <v>3</v>
      </c>
      <c r="F6" s="79" t="s">
        <v>228</v>
      </c>
      <c r="G6" s="79" t="s">
        <v>129</v>
      </c>
      <c r="I6" t="s">
        <v>132</v>
      </c>
    </row>
    <row r="7" spans="1:9">
      <c r="A7" s="74">
        <v>4</v>
      </c>
      <c r="B7" s="20" t="s">
        <v>161</v>
      </c>
      <c r="C7" s="20" t="s">
        <v>97</v>
      </c>
      <c r="D7" s="38" t="s">
        <v>1</v>
      </c>
      <c r="E7" s="78">
        <v>4</v>
      </c>
      <c r="F7" s="79" t="s">
        <v>229</v>
      </c>
      <c r="G7" s="79" t="s">
        <v>129</v>
      </c>
      <c r="I7" t="s">
        <v>133</v>
      </c>
    </row>
    <row r="8" spans="1:9">
      <c r="A8" s="78">
        <v>5</v>
      </c>
      <c r="B8" s="24" t="s">
        <v>162</v>
      </c>
      <c r="C8" s="24" t="s">
        <v>97</v>
      </c>
      <c r="D8" s="38" t="s">
        <v>1</v>
      </c>
      <c r="E8" s="62">
        <v>5</v>
      </c>
      <c r="F8" s="80" t="s">
        <v>230</v>
      </c>
      <c r="G8" s="75" t="s">
        <v>129</v>
      </c>
      <c r="I8" t="s">
        <v>134</v>
      </c>
    </row>
    <row r="9" spans="1:9">
      <c r="A9" s="78">
        <v>6</v>
      </c>
      <c r="B9" s="24" t="s">
        <v>231</v>
      </c>
      <c r="C9" s="24" t="s">
        <v>97</v>
      </c>
      <c r="D9" s="38" t="s">
        <v>1</v>
      </c>
      <c r="E9" s="81">
        <v>6</v>
      </c>
      <c r="F9" s="82" t="s">
        <v>232</v>
      </c>
      <c r="G9" s="82" t="s">
        <v>129</v>
      </c>
      <c r="I9" t="s">
        <v>135</v>
      </c>
    </row>
    <row r="10" spans="1:7">
      <c r="A10" s="78">
        <v>7</v>
      </c>
      <c r="B10" s="24" t="s">
        <v>164</v>
      </c>
      <c r="C10" s="24" t="s">
        <v>99</v>
      </c>
      <c r="D10" s="38" t="s">
        <v>1</v>
      </c>
      <c r="E10" s="81">
        <v>7</v>
      </c>
      <c r="F10" s="82" t="s">
        <v>233</v>
      </c>
      <c r="G10" s="82" t="s">
        <v>129</v>
      </c>
    </row>
    <row r="11" spans="1:10">
      <c r="A11" s="81">
        <v>8</v>
      </c>
      <c r="B11" s="83" t="s">
        <v>234</v>
      </c>
      <c r="C11" s="26" t="s">
        <v>99</v>
      </c>
      <c r="D11" s="38" t="s">
        <v>1</v>
      </c>
      <c r="E11" s="81">
        <v>8</v>
      </c>
      <c r="F11" s="82" t="s">
        <v>235</v>
      </c>
      <c r="G11" s="82" t="s">
        <v>129</v>
      </c>
      <c r="J11" t="s">
        <v>1</v>
      </c>
    </row>
    <row r="12" spans="1:7">
      <c r="A12" s="81">
        <v>9</v>
      </c>
      <c r="B12" s="26" t="s">
        <v>236</v>
      </c>
      <c r="C12" s="26" t="s">
        <v>99</v>
      </c>
      <c r="D12" s="38" t="s">
        <v>1</v>
      </c>
      <c r="E12" s="62">
        <v>9</v>
      </c>
      <c r="F12" s="75" t="s">
        <v>237</v>
      </c>
      <c r="G12" s="75" t="s">
        <v>129</v>
      </c>
    </row>
    <row r="13" spans="1:7">
      <c r="A13" s="81">
        <v>10</v>
      </c>
      <c r="B13" s="26" t="s">
        <v>167</v>
      </c>
      <c r="C13" s="26" t="s">
        <v>101</v>
      </c>
      <c r="D13" s="38" t="s">
        <v>1</v>
      </c>
      <c r="E13" s="74">
        <v>10</v>
      </c>
      <c r="F13" s="77" t="s">
        <v>238</v>
      </c>
      <c r="G13" s="77" t="s">
        <v>136</v>
      </c>
    </row>
    <row r="14" spans="1:7">
      <c r="A14" s="62">
        <v>11</v>
      </c>
      <c r="B14" s="28" t="s">
        <v>239</v>
      </c>
      <c r="C14" s="28" t="s">
        <v>101</v>
      </c>
      <c r="D14" s="38" t="s">
        <v>1</v>
      </c>
      <c r="E14" s="62">
        <v>11</v>
      </c>
      <c r="F14" s="75" t="s">
        <v>240</v>
      </c>
      <c r="G14" s="75" t="s">
        <v>136</v>
      </c>
    </row>
    <row r="15" spans="1:7">
      <c r="A15" s="62">
        <v>12</v>
      </c>
      <c r="B15" s="28" t="s">
        <v>169</v>
      </c>
      <c r="C15" s="28" t="s">
        <v>101</v>
      </c>
      <c r="D15" s="38" t="s">
        <v>1</v>
      </c>
      <c r="E15" s="78">
        <v>12</v>
      </c>
      <c r="F15" s="79" t="s">
        <v>241</v>
      </c>
      <c r="G15" s="79" t="s">
        <v>136</v>
      </c>
    </row>
    <row r="16" spans="1:7">
      <c r="A16" s="62">
        <v>13</v>
      </c>
      <c r="B16" s="28" t="s">
        <v>170</v>
      </c>
      <c r="C16" s="28" t="s">
        <v>103</v>
      </c>
      <c r="D16" s="38" t="s">
        <v>1</v>
      </c>
      <c r="E16" s="74">
        <v>13</v>
      </c>
      <c r="F16" s="77" t="s">
        <v>242</v>
      </c>
      <c r="G16" s="77" t="s">
        <v>137</v>
      </c>
    </row>
    <row r="17" spans="1:7">
      <c r="A17" s="74">
        <v>14</v>
      </c>
      <c r="B17" s="20" t="s">
        <v>171</v>
      </c>
      <c r="C17" s="20" t="s">
        <v>104</v>
      </c>
      <c r="D17" s="38" t="s">
        <v>1</v>
      </c>
      <c r="E17" s="78">
        <v>14</v>
      </c>
      <c r="F17" s="79" t="s">
        <v>243</v>
      </c>
      <c r="G17" s="79" t="s">
        <v>137</v>
      </c>
    </row>
    <row r="18" spans="1:7">
      <c r="A18" s="78">
        <v>15</v>
      </c>
      <c r="B18" s="24" t="s">
        <v>172</v>
      </c>
      <c r="C18" s="24" t="s">
        <v>104</v>
      </c>
      <c r="D18" s="38" t="s">
        <v>1</v>
      </c>
      <c r="E18" s="81">
        <v>15</v>
      </c>
      <c r="F18" s="82" t="s">
        <v>244</v>
      </c>
      <c r="G18" s="82" t="s">
        <v>137</v>
      </c>
    </row>
    <row r="19" spans="1:7">
      <c r="A19" s="78">
        <v>16</v>
      </c>
      <c r="B19" s="24" t="s">
        <v>245</v>
      </c>
      <c r="C19" s="24" t="s">
        <v>104</v>
      </c>
      <c r="D19" s="38" t="s">
        <v>1</v>
      </c>
      <c r="E19" s="74">
        <v>16</v>
      </c>
      <c r="F19" s="84" t="s">
        <v>138</v>
      </c>
      <c r="G19" s="20" t="s">
        <v>129</v>
      </c>
    </row>
    <row r="20" spans="1:7">
      <c r="A20" s="81">
        <v>17</v>
      </c>
      <c r="B20" s="26" t="s">
        <v>174</v>
      </c>
      <c r="C20" s="26" t="s">
        <v>104</v>
      </c>
      <c r="D20" s="38" t="s">
        <v>1</v>
      </c>
      <c r="E20" s="85" t="s">
        <v>1</v>
      </c>
      <c r="F20" s="38" t="s">
        <v>1</v>
      </c>
      <c r="G20" s="38" t="s">
        <v>1</v>
      </c>
    </row>
    <row r="21" spans="1:7">
      <c r="A21" s="81">
        <v>18</v>
      </c>
      <c r="B21" s="26" t="s">
        <v>175</v>
      </c>
      <c r="C21" s="26" t="s">
        <v>104</v>
      </c>
      <c r="D21" s="38" t="s">
        <v>1</v>
      </c>
      <c r="E21" s="38" t="s">
        <v>1</v>
      </c>
      <c r="F21" s="38" t="s">
        <v>1</v>
      </c>
      <c r="G21" s="38" t="s">
        <v>1</v>
      </c>
    </row>
    <row r="22" spans="1:7">
      <c r="A22" s="62">
        <v>19</v>
      </c>
      <c r="B22" s="28" t="s">
        <v>246</v>
      </c>
      <c r="C22" s="28" t="s">
        <v>104</v>
      </c>
      <c r="D22" s="38" t="s">
        <v>1</v>
      </c>
      <c r="E22" s="38" t="s">
        <v>1</v>
      </c>
      <c r="F22" s="38" t="s">
        <v>1</v>
      </c>
      <c r="G22" s="38" t="s">
        <v>1</v>
      </c>
    </row>
    <row r="23" spans="1:7">
      <c r="A23" s="62">
        <v>20</v>
      </c>
      <c r="B23" s="28" t="s">
        <v>177</v>
      </c>
      <c r="C23" s="28" t="s">
        <v>105</v>
      </c>
      <c r="D23" s="38" t="s">
        <v>1</v>
      </c>
      <c r="E23" s="38" t="s">
        <v>1</v>
      </c>
      <c r="F23" s="38" t="s">
        <v>1</v>
      </c>
      <c r="G23" s="38" t="s">
        <v>1</v>
      </c>
    </row>
    <row r="24" spans="1:7">
      <c r="A24" s="74">
        <v>21</v>
      </c>
      <c r="B24" s="20" t="s">
        <v>178</v>
      </c>
      <c r="C24" s="20" t="s">
        <v>106</v>
      </c>
      <c r="D24" s="38" t="s">
        <v>1</v>
      </c>
      <c r="E24" s="38" t="s">
        <v>1</v>
      </c>
      <c r="F24" s="38" t="s">
        <v>1</v>
      </c>
      <c r="G24" s="38" t="s">
        <v>1</v>
      </c>
    </row>
    <row r="25" spans="1:7">
      <c r="A25" s="78">
        <v>22</v>
      </c>
      <c r="B25" s="24" t="s">
        <v>179</v>
      </c>
      <c r="C25" s="24" t="s">
        <v>106</v>
      </c>
      <c r="D25" s="38" t="s">
        <v>1</v>
      </c>
      <c r="E25" s="38" t="s">
        <v>1</v>
      </c>
      <c r="F25" s="38" t="s">
        <v>1</v>
      </c>
      <c r="G25" s="38" t="s">
        <v>1</v>
      </c>
    </row>
    <row r="26" spans="1:7">
      <c r="A26" s="81">
        <v>23</v>
      </c>
      <c r="B26" s="26" t="s">
        <v>180</v>
      </c>
      <c r="C26" s="26" t="s">
        <v>106</v>
      </c>
      <c r="D26" s="38" t="s">
        <v>1</v>
      </c>
      <c r="E26" s="38" t="s">
        <v>1</v>
      </c>
      <c r="F26" s="38" t="s">
        <v>1</v>
      </c>
      <c r="G26" s="38" t="s">
        <v>1</v>
      </c>
    </row>
    <row r="27" spans="1:7">
      <c r="A27" s="62">
        <v>24</v>
      </c>
      <c r="B27" s="28" t="s">
        <v>181</v>
      </c>
      <c r="C27" s="28" t="s">
        <v>106</v>
      </c>
      <c r="D27" s="38" t="s">
        <v>1</v>
      </c>
      <c r="E27" s="38" t="s">
        <v>1</v>
      </c>
      <c r="F27" s="38" t="s">
        <v>1</v>
      </c>
      <c r="G27" s="38" t="s">
        <v>1</v>
      </c>
    </row>
    <row r="28" spans="1:7">
      <c r="A28" s="62">
        <v>25</v>
      </c>
      <c r="B28" s="28" t="s">
        <v>182</v>
      </c>
      <c r="C28" s="28" t="s">
        <v>106</v>
      </c>
      <c r="D28" s="38" t="s">
        <v>1</v>
      </c>
      <c r="E28" s="38" t="s">
        <v>1</v>
      </c>
      <c r="F28" s="38" t="s">
        <v>1</v>
      </c>
      <c r="G28" s="38" t="s">
        <v>1</v>
      </c>
    </row>
    <row r="29" spans="1:7">
      <c r="A29" s="81">
        <v>26</v>
      </c>
      <c r="B29" s="30" t="s">
        <v>183</v>
      </c>
      <c r="C29" s="26" t="s">
        <v>106</v>
      </c>
      <c r="D29" s="38" t="s">
        <v>1</v>
      </c>
      <c r="E29" s="38" t="s">
        <v>1</v>
      </c>
      <c r="F29" s="38" t="s">
        <v>1</v>
      </c>
      <c r="G29" s="38" t="s">
        <v>1</v>
      </c>
    </row>
    <row r="30" spans="1:7">
      <c r="A30" s="74">
        <v>27</v>
      </c>
      <c r="B30" s="20" t="s">
        <v>184</v>
      </c>
      <c r="C30" s="20" t="s">
        <v>106</v>
      </c>
      <c r="D30" s="38" t="s">
        <v>1</v>
      </c>
      <c r="E30" s="38" t="s">
        <v>1</v>
      </c>
      <c r="F30" s="38" t="s">
        <v>1</v>
      </c>
      <c r="G30" s="38" t="s">
        <v>1</v>
      </c>
    </row>
  </sheetData>
  <mergeCells count="4">
    <mergeCell ref="A1:C1"/>
    <mergeCell ref="E1:G1"/>
    <mergeCell ref="A2:C2"/>
    <mergeCell ref="E2:G2"/>
  </mergeCells>
</worksheet>
</file>

<file path=xl/worksheets/sheet2.xml><?xml version="1.0" encoding="utf-8"?>
<worksheet xmlns="http://schemas.openxmlformats.org/spreadsheetml/2006/main">
  <sheetPr codeName="📄LeaderBoard">
    <tabColor rgb="FFFFFFFF"/>
  </sheetPr>
  <dimension ref="A31"/>
  <sheetViews>
    <sheetView showGridLines="true" workbookViewId="0"/>
  </sheetViews>
  <cols>
    <col min="1" max="1" width="35.7109" customWidth="true"/>
    <col min="2" max="5" width="15.7109" customWidth="true"/>
  </cols>
  <sheetData>
    <row r="1" spans="1:7" ht="24" customHeight="true">
      <c r="A1" s="86" t="s">
        <v>139</v>
      </c>
      <c r="B1" s="65" t="s"/>
      <c r="C1" s="65" t="s"/>
      <c r="D1" s="65" t="s"/>
      <c r="E1" s="65" t="s"/>
      <c r="G1" t="s">
        <v>140</v>
      </c>
    </row>
    <row r="2" spans="1:5">
      <c r="A2" s="87" t="s">
        <v>141</v>
      </c>
      <c r="B2" s="88" t="s">
        <v>96</v>
      </c>
      <c r="C2" s="89" t="s">
        <v>98</v>
      </c>
      <c r="D2" s="90" t="s">
        <v>100</v>
      </c>
      <c r="E2" s="91" t="s">
        <v>102</v>
      </c>
    </row>
    <row r="3" spans="1:10">
      <c r="A3" s="92">
        <v>1</v>
      </c>
      <c r="B3" s="93">
        <f>=IFERROR(SUMPRODUCT(ISNUMBER(SEARCH(B$2,KeDa!$D$4:$D$100))*IFERROR(KeDa!$E$4:$K$100,0)),0)+IFERROR(SUMPRODUCT(ISNUMBER(SEARCH(B$2,Tank!$D$4:$D$100))*IFERROR(Tank!$E$4:$K$100,0)),0)+IFERROR(SUMPRODUCT(ISNUMBER(SEARCH(B$2,Richard!$D$4:$D$100))*IFERROR(Richard!$E$4:$K$100,0)),0)+IFERROR(SUMPRODUCT(ISNUMBER(SEARCH(B$2,Jenny!$D$4:$D$100))*IFERROR(Jenny!$E$4:$K$100,0)),0)+IFERROR(SUMPRODUCT(ISNUMBER(SEARCH(B$2,Cooper!$D$4:$D$100))*IFERROR(Cooper!$E$4:$K$100,0)),0)+IFERROR(SUMPRODUCT(ISNUMBER(SEARCH(B$2,Summer!$D$4:$D$100))*IFERROR(Summer!$E$4:$K$100,0)),0)+IFERROR(SUMPRODUCT(ISNUMBER(SEARCH(B$2,Julie!$D$4:$D$100))*IFERROR(Julie!$E$4:$K$100,0)),0)+IFERROR(SUMPRODUCT(ISNUMBER(SEARCH(B$2,Jiao!$D$4:$D$100))*IFERROR(Jiao!$E$4:$K$100,0)),0)</f>
      </c>
      <c r="C3" s="93">
        <f>=IFERROR(SUMPRODUCT(ISNUMBER(SEARCH(C$2,KeDa!$D$4:$D$100))*IFERROR(KeDa!$E$4:$K$100,0)),0)+IFERROR(SUMPRODUCT(ISNUMBER(SEARCH(C$2,Tank!$D$4:$D$100))*IFERROR(Tank!$E$4:$K$100,0)),0)+IFERROR(SUMPRODUCT(ISNUMBER(SEARCH(C$2,Richard!$D$4:$D$100))*IFERROR(Richard!$E$4:$K$100,0)),0)+IFERROR(SUMPRODUCT(ISNUMBER(SEARCH(C$2,Jenny!$D$4:$D$100))*IFERROR(Jenny!$E$4:$K$100,0)),0)+IFERROR(SUMPRODUCT(ISNUMBER(SEARCH(C$2,Cooper!$D$4:$D$100))*IFERROR(Cooper!$E$4:$K$100,0)),0)+IFERROR(SUMPRODUCT(ISNUMBER(SEARCH(C$2,Summer!$D$4:$D$100))*IFERROR(Summer!$E$4:$K$100,0)),0)+IFERROR(SUMPRODUCT(ISNUMBER(SEARCH(C$2,Julie!$D$4:$D$100))*IFERROR(Julie!$E$4:$K$100,0)),0)+IFERROR(SUMPRODUCT(ISNUMBER(SEARCH(C$2,Jiao!$D$4:$D$100))*IFERROR(Jiao!$E$4:$K$100,0)),0)</f>
      </c>
      <c r="D3" s="93">
        <f>=IFERROR(SUMPRODUCT(ISNUMBER(SEARCH(D$2,KeDa!$D$4:$D$100))*IFERROR(KeDa!$E$4:$K$100,0)),0)+IFERROR(SUMPRODUCT(ISNUMBER(SEARCH(D$2,Tank!$D$4:$D$100))*IFERROR(Tank!$E$4:$K$100,0)),0)+IFERROR(SUMPRODUCT(ISNUMBER(SEARCH(D$2,Richard!$D$4:$D$100))*IFERROR(Richard!$E$4:$K$100,0)),0)+IFERROR(SUMPRODUCT(ISNUMBER(SEARCH(D$2,Jenny!$D$4:$D$100))*IFERROR(Jenny!$E$4:$K$100,0)),0)+IFERROR(SUMPRODUCT(ISNUMBER(SEARCH(D$2,Cooper!$D$4:$D$100))*IFERROR(Cooper!$E$4:$K$100,0)),0)+IFERROR(SUMPRODUCT(ISNUMBER(SEARCH(D$2,Summer!$D$4:$D$100))*IFERROR(Summer!$E$4:$K$100,0)),0)+IFERROR(SUMPRODUCT(ISNUMBER(SEARCH(D$2,Julie!$D$4:$D$100))*IFERROR(Julie!$E$4:$K$100,0)),0)+IFERROR(SUMPRODUCT(ISNUMBER(SEARCH(D$2,Jiao!$D$4:$D$100))*IFERROR(Jiao!$E$4:$K$100,0)),0)</f>
      </c>
      <c r="E3" s="93">
        <f>=IFERROR(SUMPRODUCT(ISNUMBER(SEARCH(E$2,KeDa!$D$4:$D$100))*IFERROR(KeDa!$E$4:$K$100,0)),0)+IFERROR(SUMPRODUCT(ISNUMBER(SEARCH(E$2,Tank!$D$4:$D$100))*IFERROR(Tank!$E$4:$K$100,0)),0)+IFERROR(SUMPRODUCT(ISNUMBER(SEARCH(E$2,Richard!$D$4:$D$100))*IFERROR(Richard!$E$4:$K$100,0)),0)+IFERROR(SUMPRODUCT(ISNUMBER(SEARCH(E$2,Jenny!$D$4:$D$100))*IFERROR(Jenny!$E$4:$K$100,0)),0)+IFERROR(SUMPRODUCT(ISNUMBER(SEARCH(E$2,Cooper!$D$4:$D$100))*IFERROR(Cooper!$E$4:$K$100,0)),0)+IFERROR(SUMPRODUCT(ISNUMBER(SEARCH(E$2,Summer!$D$4:$D$100))*IFERROR(Summer!$E$4:$K$100,0)),0)+IFERROR(SUMPRODUCT(ISNUMBER(SEARCH(E$2,Julie!$D$4:$D$100))*IFERROR(Julie!$E$4:$K$100,0)),0)+IFERROR(SUMPRODUCT(ISNUMBER(SEARCH(E$2,Jiao!$D$4:$D$100))*IFERROR(Jiao!$E$4:$K$100,0)),0)</f>
      </c>
      <c r="G3" s="94" t="s"/>
      <c r="H3" s="94" t="s"/>
      <c r="I3" s="94" t="s"/>
      <c r="J3" s="94" t="s"/>
    </row>
    <row r="4" spans="1:5">
      <c r="A4" s="92">
        <v>2</v>
      </c>
      <c r="B4" s="93">
        <f>=IFERROR(SUMPRODUCT(ISNUMBER(SEARCH(B$2,KeDa!$D$4:$D$100))*IFERROR(KeDa!$M$4:$S$100,0)),0)+IFERROR(SUMPRODUCT(ISNUMBER(SEARCH(B$2,Tank!$D$4:$D$100))*IFERROR(Tank!$M$4:$S$100,0)),0)+IFERROR(SUMPRODUCT(ISNUMBER(SEARCH(B$2,Richard!$D$4:$D$100))*IFERROR(Richard!$M$4:$S$100,0)),0)+IFERROR(SUMPRODUCT(ISNUMBER(SEARCH(B$2,Jenny!$D$4:$D$100))*IFERROR(Jenny!$M$4:$S$100,0)),0)+IFERROR(SUMPRODUCT(ISNUMBER(SEARCH(B$2,Cooper!$D$4:$D$100))*IFERROR(Cooper!$M$4:$S$100,0)),0)+IFERROR(SUMPRODUCT(ISNUMBER(SEARCH(B$2,Summer!$D$4:$D$100))*IFERROR(Summer!$M$4:$S$100,0)),0)+IFERROR(SUMPRODUCT(ISNUMBER(SEARCH(B$2,Julie!$D$4:$D$100))*IFERROR(Julie!$M$4:$S$100,0)),0)+IFERROR(SUMPRODUCT(ISNUMBER(SEARCH(B$2,Jiao!$D$4:$D$100))*IFERROR(Jiao!$M$4:$S$100,0)),0)</f>
      </c>
      <c r="C4" s="93">
        <f>=IFERROR(SUMPRODUCT(ISNUMBER(SEARCH(C$2,KeDa!$D$4:$D$100))*IFERROR(KeDa!$M$4:$S$100,0)),0)+IFERROR(SUMPRODUCT(ISNUMBER(SEARCH(C$2,Tank!$D$4:$D$100))*IFERROR(Tank!$M$4:$S$100,0)),0)+IFERROR(SUMPRODUCT(ISNUMBER(SEARCH(C$2,Richard!$D$4:$D$100))*IFERROR(Richard!$M$4:$S$100,0)),0)+IFERROR(SUMPRODUCT(ISNUMBER(SEARCH(C$2,Jenny!$D$4:$D$100))*IFERROR(Jenny!$M$4:$S$100,0)),0)+IFERROR(SUMPRODUCT(ISNUMBER(SEARCH(C$2,Cooper!$D$4:$D$100))*IFERROR(Cooper!$M$4:$S$100,0)),0)+IFERROR(SUMPRODUCT(ISNUMBER(SEARCH(C$2,Summer!$D$4:$D$100))*IFERROR(Summer!$M$4:$S$100,0)),0)+IFERROR(SUMPRODUCT(ISNUMBER(SEARCH(C$2,Julie!$D$4:$D$100))*IFERROR(Julie!$M$4:$S$100,0)),0)+IFERROR(SUMPRODUCT(ISNUMBER(SEARCH(C$2,Jiao!$D$4:$D$100))*IFERROR(Jiao!$M$4:$S$100,0)),0)</f>
      </c>
      <c r="D4" s="93">
        <f>=IFERROR(SUMPRODUCT(ISNUMBER(SEARCH(D$2,KeDa!$D$4:$D$100))*IFERROR(KeDa!$M$4:$S$100,0)),0)+IFERROR(SUMPRODUCT(ISNUMBER(SEARCH(D$2,Tank!$D$4:$D$100))*IFERROR(Tank!$M$4:$S$100,0)),0)+IFERROR(SUMPRODUCT(ISNUMBER(SEARCH(D$2,Richard!$D$4:$D$100))*IFERROR(Richard!$M$4:$S$100,0)),0)+IFERROR(SUMPRODUCT(ISNUMBER(SEARCH(D$2,Jenny!$D$4:$D$100))*IFERROR(Jenny!$M$4:$S$100,0)),0)+IFERROR(SUMPRODUCT(ISNUMBER(SEARCH(D$2,Cooper!$D$4:$D$100))*IFERROR(Cooper!$M$4:$S$100,0)),0)+IFERROR(SUMPRODUCT(ISNUMBER(SEARCH(D$2,Summer!$D$4:$D$100))*IFERROR(Summer!$M$4:$S$100,0)),0)+IFERROR(SUMPRODUCT(ISNUMBER(SEARCH(D$2,Julie!$D$4:$D$100))*IFERROR(Julie!$M$4:$S$100,0)),0)+IFERROR(SUMPRODUCT(ISNUMBER(SEARCH(D$2,Jiao!$D$4:$D$100))*IFERROR(Jiao!$M$4:$S$100,0)),0)</f>
      </c>
      <c r="E4" s="93">
        <f>=IFERROR(SUMPRODUCT(ISNUMBER(SEARCH(E$2,KeDa!$D$4:$D$100))*IFERROR(KeDa!$M$4:$S$100,0)),0)+IFERROR(SUMPRODUCT(ISNUMBER(SEARCH(E$2,Tank!$D$4:$D$100))*IFERROR(Tank!$M$4:$S$100,0)),0)+IFERROR(SUMPRODUCT(ISNUMBER(SEARCH(E$2,Richard!$D$4:$D$100))*IFERROR(Richard!$M$4:$S$100,0)),0)+IFERROR(SUMPRODUCT(ISNUMBER(SEARCH(E$2,Jenny!$D$4:$D$100))*IFERROR(Jenny!$M$4:$S$100,0)),0)+IFERROR(SUMPRODUCT(ISNUMBER(SEARCH(E$2,Cooper!$D$4:$D$100))*IFERROR(Cooper!$M$4:$S$100,0)),0)+IFERROR(SUMPRODUCT(ISNUMBER(SEARCH(E$2,Summer!$D$4:$D$100))*IFERROR(Summer!$M$4:$S$100,0)),0)+IFERROR(SUMPRODUCT(ISNUMBER(SEARCH(E$2,Julie!$D$4:$D$100))*IFERROR(Julie!$M$4:$S$100,0)),0)+IFERROR(SUMPRODUCT(ISNUMBER(SEARCH(E$2,Jiao!$D$4:$D$100))*IFERROR(Jiao!$M$4:$S$100,0)),0)</f>
      </c>
    </row>
    <row r="5" spans="1:5">
      <c r="A5" s="92">
        <v>3</v>
      </c>
      <c r="B5" s="94">
        <f>=IFERROR(SUMPRODUCT(ISNUMBER(SEARCH(B$2,KeDa!$D$4:$D$100))*IFERROR(KeDa!$U$4:$AA$100,0)),0)+IFERROR(SUMPRODUCT(ISNUMBER(SEARCH(B$2,Tank!$D$4:$D$100))*IFERROR(Tank!$U$4:$AA$100,0)),0)+IFERROR(SUMPRODUCT(ISNUMBER(SEARCH(B$2,Richard!$D$4:$D$100))*IFERROR(Richard!$U$4:$AA$100,0)),0)+IFERROR(SUMPRODUCT(ISNUMBER(SEARCH(B$2,Jenny!$D$4:$D$100))*IFERROR(Jenny!$U$4:$AA$100,0)),0)+IFERROR(SUMPRODUCT(ISNUMBER(SEARCH(B$2,Cooper!$D$4:$D$100))*IFERROR(Cooper!$U$4:$AA$100,0)),0)+IFERROR(SUMPRODUCT(ISNUMBER(SEARCH(B$2,Summer!$D$4:$D$100))*IFERROR(Summer!$U$4:$AA$100,0)),0)+IFERROR(SUMPRODUCT(ISNUMBER(SEARCH(B$2,Julie!$D$4:$D$100))*IFERROR(Julie!$U$4:$AA$100,0)),0)+IFERROR(SUMPRODUCT(ISNUMBER(SEARCH(B$2,Jiao!$D$4:$D$100))*IFERROR(Jiao!$U$4:$AA$100,0)),0)</f>
      </c>
      <c r="C5" s="94">
        <f>=IFERROR(SUMPRODUCT(ISNUMBER(SEARCH(C$2,KeDa!$D$4:$D$100))*IFERROR(KeDa!$U$4:$AA$100,0)),0)+IFERROR(SUMPRODUCT(ISNUMBER(SEARCH(C$2,Tank!$D$4:$D$100))*IFERROR(Tank!$U$4:$AA$100,0)),0)+IFERROR(SUMPRODUCT(ISNUMBER(SEARCH(C$2,Richard!$D$4:$D$100))*IFERROR(Richard!$U$4:$AA$100,0)),0)+IFERROR(SUMPRODUCT(ISNUMBER(SEARCH(C$2,Jenny!$D$4:$D$100))*IFERROR(Jenny!$U$4:$AA$100,0)),0)+IFERROR(SUMPRODUCT(ISNUMBER(SEARCH(C$2,Cooper!$D$4:$D$100))*IFERROR(Cooper!$U$4:$AA$100,0)),0)+IFERROR(SUMPRODUCT(ISNUMBER(SEARCH(C$2,Summer!$D$4:$D$100))*IFERROR(Summer!$U$4:$AA$100,0)),0)+IFERROR(SUMPRODUCT(ISNUMBER(SEARCH(C$2,Julie!$D$4:$D$100))*IFERROR(Julie!$U$4:$AA$100,0)),0)+IFERROR(SUMPRODUCT(ISNUMBER(SEARCH(C$2,Jiao!$D$4:$D$100))*IFERROR(Jiao!$U$4:$AA$100,0)),0)</f>
      </c>
      <c r="D5" s="94">
        <f>=IFERROR(SUMPRODUCT(ISNUMBER(SEARCH(D$2,KeDa!$D$4:$D$100))*IFERROR(KeDa!$U$4:$AA$100,0)),0)+IFERROR(SUMPRODUCT(ISNUMBER(SEARCH(D$2,Tank!$D$4:$D$100))*IFERROR(Tank!$U$4:$AA$100,0)),0)+IFERROR(SUMPRODUCT(ISNUMBER(SEARCH(D$2,Richard!$D$4:$D$100))*IFERROR(Richard!$U$4:$AA$100,0)),0)+IFERROR(SUMPRODUCT(ISNUMBER(SEARCH(D$2,Jenny!$D$4:$D$100))*IFERROR(Jenny!$U$4:$AA$100,0)),0)+IFERROR(SUMPRODUCT(ISNUMBER(SEARCH(D$2,Cooper!$D$4:$D$100))*IFERROR(Cooper!$U$4:$AA$100,0)),0)+IFERROR(SUMPRODUCT(ISNUMBER(SEARCH(D$2,Summer!$D$4:$D$100))*IFERROR(Summer!$U$4:$AA$100,0)),0)+IFERROR(SUMPRODUCT(ISNUMBER(SEARCH(D$2,Julie!$D$4:$D$100))*IFERROR(Julie!$U$4:$AA$100,0)),0)+IFERROR(SUMPRODUCT(ISNUMBER(SEARCH(D$2,Jiao!$D$4:$D$100))*IFERROR(Jiao!$U$4:$AA$100,0)),0)</f>
      </c>
      <c r="E5" s="94">
        <f>=IFERROR(SUMPRODUCT(ISNUMBER(SEARCH(E$2,KeDa!$D$4:$D$100))*IFERROR(KeDa!$U$4:$AA$100,0)),0)+IFERROR(SUMPRODUCT(ISNUMBER(SEARCH(E$2,Tank!$D$4:$D$100))*IFERROR(Tank!$U$4:$AA$100,0)),0)+IFERROR(SUMPRODUCT(ISNUMBER(SEARCH(E$2,Richard!$D$4:$D$100))*IFERROR(Richard!$U$4:$AA$100,0)),0)+IFERROR(SUMPRODUCT(ISNUMBER(SEARCH(E$2,Jenny!$D$4:$D$100))*IFERROR(Jenny!$U$4:$AA$100,0)),0)+IFERROR(SUMPRODUCT(ISNUMBER(SEARCH(E$2,Cooper!$D$4:$D$100))*IFERROR(Cooper!$U$4:$AA$100,0)),0)+IFERROR(SUMPRODUCT(ISNUMBER(SEARCH(E$2,Summer!$D$4:$D$100))*IFERROR(Summer!$U$4:$AA$100,0)),0)+IFERROR(SUMPRODUCT(ISNUMBER(SEARCH(E$2,Julie!$D$4:$D$100))*IFERROR(Julie!$U$4:$AA$100,0)),0)+IFERROR(SUMPRODUCT(ISNUMBER(SEARCH(E$2,Jiao!$D$4:$D$100))*IFERROR(Jiao!$U$4:$AA$100,0)),0)</f>
      </c>
    </row>
    <row r="6" spans="1:5">
      <c r="A6" s="92">
        <v>4</v>
      </c>
      <c r="B6" s="94">
        <f>=IFERROR(SUMPRODUCT(ISNUMBER(SEARCH(B$2,KeDa!$D$4:$D$100))*IFERROR(KeDa!$AC$4:$AI$100,0)),0)+IFERROR(SUMPRODUCT(ISNUMBER(SEARCH(B$2,Tank!$D$4:$D$100))*IFERROR(Tank!$AC$4:$AI$100,0)),0)+IFERROR(SUMPRODUCT(ISNUMBER(SEARCH(B$2,Richard!$D$4:$D$100))*IFERROR(Richard!$AC$4:$AI$100,0)),0)+IFERROR(SUMPRODUCT(ISNUMBER(SEARCH(B$2,Jenny!$D$4:$D$100))*IFERROR(Jenny!$AC$4:$AI$100,0)),0)+IFERROR(SUMPRODUCT(ISNUMBER(SEARCH(B$2,Cooper!$D$4:$D$100))*IFERROR(Cooper!$AC$4:$AI$100,0)),0)+IFERROR(SUMPRODUCT(ISNUMBER(SEARCH(B$2,Summer!$D$4:$D$100))*IFERROR(Summer!$AC$4:$AI$100,0)),0)+IFERROR(SUMPRODUCT(ISNUMBER(SEARCH(B$2,Julie!$D$4:$D$100))*IFERROR(Julie!$AC$4:$AI$100,0)),0)+IFERROR(SUMPRODUCT(ISNUMBER(SEARCH(B$2,Jiao!$D$4:$D$100))*IFERROR(Jiao!$AC$4:$AI$100,0)),0)</f>
      </c>
      <c r="C6" s="94">
        <f>=IFERROR(SUMPRODUCT(ISNUMBER(SEARCH(C$2,KeDa!$D$4:$D$100))*IFERROR(KeDa!$AC$4:$AI$100,0)),0)+IFERROR(SUMPRODUCT(ISNUMBER(SEARCH(C$2,Tank!$D$4:$D$100))*IFERROR(Tank!$AC$4:$AI$100,0)),0)+IFERROR(SUMPRODUCT(ISNUMBER(SEARCH(C$2,Richard!$D$4:$D$100))*IFERROR(Richard!$AC$4:$AI$100,0)),0)+IFERROR(SUMPRODUCT(ISNUMBER(SEARCH(C$2,Jenny!$D$4:$D$100))*IFERROR(Jenny!$AC$4:$AI$100,0)),0)+IFERROR(SUMPRODUCT(ISNUMBER(SEARCH(C$2,Cooper!$D$4:$D$100))*IFERROR(Cooper!$AC$4:$AI$100,0)),0)+IFERROR(SUMPRODUCT(ISNUMBER(SEARCH(C$2,Summer!$D$4:$D$100))*IFERROR(Summer!$AC$4:$AI$100,0)),0)+IFERROR(SUMPRODUCT(ISNUMBER(SEARCH(C$2,Julie!$D$4:$D$100))*IFERROR(Julie!$AC$4:$AI$100,0)),0)+IFERROR(SUMPRODUCT(ISNUMBER(SEARCH(C$2,Jiao!$D$4:$D$100))*IFERROR(Jiao!$AC$4:$AI$100,0)),0)</f>
      </c>
      <c r="D6" s="94">
        <f>=IFERROR(SUMPRODUCT(ISNUMBER(SEARCH(D$2,KeDa!$D$4:$D$100))*IFERROR(KeDa!$AC$4:$AI$100,0)),0)+IFERROR(SUMPRODUCT(ISNUMBER(SEARCH(D$2,Tank!$D$4:$D$100))*IFERROR(Tank!$AC$4:$AI$100,0)),0)+IFERROR(SUMPRODUCT(ISNUMBER(SEARCH(D$2,Richard!$D$4:$D$100))*IFERROR(Richard!$AC$4:$AI$100,0)),0)+IFERROR(SUMPRODUCT(ISNUMBER(SEARCH(D$2,Jenny!$D$4:$D$100))*IFERROR(Jenny!$AC$4:$AI$100,0)),0)+IFERROR(SUMPRODUCT(ISNUMBER(SEARCH(D$2,Cooper!$D$4:$D$100))*IFERROR(Cooper!$AC$4:$AI$100,0)),0)+IFERROR(SUMPRODUCT(ISNUMBER(SEARCH(D$2,Summer!$D$4:$D$100))*IFERROR(Summer!$AC$4:$AI$100,0)),0)+IFERROR(SUMPRODUCT(ISNUMBER(SEARCH(D$2,Julie!$D$4:$D$100))*IFERROR(Julie!$AC$4:$AI$100,0)),0)+IFERROR(SUMPRODUCT(ISNUMBER(SEARCH(D$2,Jiao!$D$4:$D$100))*IFERROR(Jiao!$AC$4:$AI$100,0)),0)</f>
      </c>
      <c r="E6" s="94">
        <f>=IFERROR(SUMPRODUCT(ISNUMBER(SEARCH(E$2,KeDa!$D$4:$D$100))*IFERROR(KeDa!$AC$4:$AI$100,0)),0)+IFERROR(SUMPRODUCT(ISNUMBER(SEARCH(E$2,Tank!$D$4:$D$100))*IFERROR(Tank!$AC$4:$AI$100,0)),0)+IFERROR(SUMPRODUCT(ISNUMBER(SEARCH(E$2,Richard!$D$4:$D$100))*IFERROR(Richard!$AC$4:$AI$100,0)),0)+IFERROR(SUMPRODUCT(ISNUMBER(SEARCH(E$2,Jenny!$D$4:$D$100))*IFERROR(Jenny!$AC$4:$AI$100,0)),0)+IFERROR(SUMPRODUCT(ISNUMBER(SEARCH(E$2,Cooper!$D$4:$D$100))*IFERROR(Cooper!$AC$4:$AI$100,0)),0)+IFERROR(SUMPRODUCT(ISNUMBER(SEARCH(E$2,Summer!$D$4:$D$100))*IFERROR(Summer!$AC$4:$AI$100,0)),0)+IFERROR(SUMPRODUCT(ISNUMBER(SEARCH(E$2,Julie!$D$4:$D$100))*IFERROR(Julie!$AC$4:$AI$100,0)),0)+IFERROR(SUMPRODUCT(ISNUMBER(SEARCH(E$2,Jiao!$D$4:$D$100))*IFERROR(Jiao!$AC$4:$AI$100,0)),0)</f>
      </c>
    </row>
    <row r="7" spans="1:5">
      <c r="A7" s="92">
        <v>5</v>
      </c>
      <c r="B7" s="94">
        <f>=IFERROR(SUMPRODUCT(ISNUMBER(SEARCH(B$2,KeDa!$D$4:$D$100))*IFERROR(KeDa!$AK$4:$AQ$100,0)),0)+IFERROR(SUMPRODUCT(ISNUMBER(SEARCH(B$2,Tank!$D$4:$D$100))*IFERROR(Tank!$AK$4:$AQ$100,0)),0)+IFERROR(SUMPRODUCT(ISNUMBER(SEARCH(B$2,Richard!$D$4:$D$100))*IFERROR(Richard!$AK$4:$AQ$100,0)),0)+IFERROR(SUMPRODUCT(ISNUMBER(SEARCH(B$2,Jenny!$D$4:$D$100))*IFERROR(Jenny!$AK$4:$AQ$100,0)),0)+IFERROR(SUMPRODUCT(ISNUMBER(SEARCH(B$2,Cooper!$D$4:$D$100))*IFERROR(Cooper!$AK$4:$AQ$100,0)),0)+IFERROR(SUMPRODUCT(ISNUMBER(SEARCH(B$2,Summer!$D$4:$D$100))*IFERROR(Summer!$AK$4:$AQ$100,0)),0)+IFERROR(SUMPRODUCT(ISNUMBER(SEARCH(B$2,Julie!$D$4:$D$100))*IFERROR(Julie!$AK$4:$AQ$100,0)),0)+IFERROR(SUMPRODUCT(ISNUMBER(SEARCH(B$2,Jiao!$D$4:$D$100))*IFERROR(Jiao!$AK$4:$AQ$100,0)),0)</f>
      </c>
      <c r="C7" s="94">
        <f>=IFERROR(SUMPRODUCT(ISNUMBER(SEARCH(C$2,KeDa!$D$4:$D$100))*IFERROR(KeDa!$AK$4:$AQ$100,0)),0)+IFERROR(SUMPRODUCT(ISNUMBER(SEARCH(C$2,Tank!$D$4:$D$100))*IFERROR(Tank!$AK$4:$AQ$100,0)),0)+IFERROR(SUMPRODUCT(ISNUMBER(SEARCH(C$2,Richard!$D$4:$D$100))*IFERROR(Richard!$AK$4:$AQ$100,0)),0)+IFERROR(SUMPRODUCT(ISNUMBER(SEARCH(C$2,Jenny!$D$4:$D$100))*IFERROR(Jenny!$AK$4:$AQ$100,0)),0)+IFERROR(SUMPRODUCT(ISNUMBER(SEARCH(C$2,Cooper!$D$4:$D$100))*IFERROR(Cooper!$AK$4:$AQ$100,0)),0)+IFERROR(SUMPRODUCT(ISNUMBER(SEARCH(C$2,Summer!$D$4:$D$100))*IFERROR(Summer!$AK$4:$AQ$100,0)),0)+IFERROR(SUMPRODUCT(ISNUMBER(SEARCH(C$2,Julie!$D$4:$D$100))*IFERROR(Julie!$AK$4:$AQ$100,0)),0)+IFERROR(SUMPRODUCT(ISNUMBER(SEARCH(C$2,Jiao!$D$4:$D$100))*IFERROR(Jiao!$AK$4:$AQ$100,0)),0)</f>
      </c>
      <c r="D7" s="94">
        <f>=IFERROR(SUMPRODUCT(ISNUMBER(SEARCH(D$2,KeDa!$D$4:$D$100))*IFERROR(KeDa!$AK$4:$AQ$100,0)),0)+IFERROR(SUMPRODUCT(ISNUMBER(SEARCH(D$2,Tank!$D$4:$D$100))*IFERROR(Tank!$AK$4:$AQ$100,0)),0)+IFERROR(SUMPRODUCT(ISNUMBER(SEARCH(D$2,Richard!$D$4:$D$100))*IFERROR(Richard!$AK$4:$AQ$100,0)),0)+IFERROR(SUMPRODUCT(ISNUMBER(SEARCH(D$2,Jenny!$D$4:$D$100))*IFERROR(Jenny!$AK$4:$AQ$100,0)),0)+IFERROR(SUMPRODUCT(ISNUMBER(SEARCH(D$2,Cooper!$D$4:$D$100))*IFERROR(Cooper!$AK$4:$AQ$100,0)),0)+IFERROR(SUMPRODUCT(ISNUMBER(SEARCH(D$2,Summer!$D$4:$D$100))*IFERROR(Summer!$AK$4:$AQ$100,0)),0)+IFERROR(SUMPRODUCT(ISNUMBER(SEARCH(D$2,Julie!$D$4:$D$100))*IFERROR(Julie!$AK$4:$AQ$100,0)),0)+IFERROR(SUMPRODUCT(ISNUMBER(SEARCH(D$2,Jiao!$D$4:$D$100))*IFERROR(Jiao!$AK$4:$AQ$100,0)),0)</f>
      </c>
      <c r="E7" s="94">
        <f>=IFERROR(SUMPRODUCT(ISNUMBER(SEARCH(E$2,KeDa!$D$4:$D$100))*IFERROR(KeDa!$AK$4:$AQ$100,0)),0)+IFERROR(SUMPRODUCT(ISNUMBER(SEARCH(E$2,Tank!$D$4:$D$100))*IFERROR(Tank!$AK$4:$AQ$100,0)),0)+IFERROR(SUMPRODUCT(ISNUMBER(SEARCH(E$2,Richard!$D$4:$D$100))*IFERROR(Richard!$AK$4:$AQ$100,0)),0)+IFERROR(SUMPRODUCT(ISNUMBER(SEARCH(E$2,Jenny!$D$4:$D$100))*IFERROR(Jenny!$AK$4:$AQ$100,0)),0)+IFERROR(SUMPRODUCT(ISNUMBER(SEARCH(E$2,Cooper!$D$4:$D$100))*IFERROR(Cooper!$AK$4:$AQ$100,0)),0)+IFERROR(SUMPRODUCT(ISNUMBER(SEARCH(E$2,Summer!$D$4:$D$100))*IFERROR(Summer!$AK$4:$AQ$100,0)),0)+IFERROR(SUMPRODUCT(ISNUMBER(SEARCH(E$2,Julie!$D$4:$D$100))*IFERROR(Julie!$AK$4:$AQ$100,0)),0)+IFERROR(SUMPRODUCT(ISNUMBER(SEARCH(E$2,Jiao!$D$4:$D$100))*IFERROR(Jiao!$AK$4:$AQ$100,0)),0)</f>
      </c>
    </row>
    <row r="8" spans="1:5">
      <c r="A8" s="92">
        <v>6</v>
      </c>
      <c r="B8" s="94">
        <f>=IFERROR(SUMPRODUCT(ISNUMBER(SEARCH(B$2,KeDa!$D$4:$D$100))*IFERROR(KeDa!$AS$4:$AY$100,0)),0)+IFERROR(SUMPRODUCT(ISNUMBER(SEARCH(B$2,Tank!$D$4:$D$100))*IFERROR(Tank!$AS$4:$AY$100,0)),0)+IFERROR(SUMPRODUCT(ISNUMBER(SEARCH(B$2,Richard!$D$4:$D$100))*IFERROR(Richard!$AS$4:$AY$100,0)),0)+IFERROR(SUMPRODUCT(ISNUMBER(SEARCH(B$2,Jenny!$D$4:$D$100))*IFERROR(Jenny!$AS$4:$AY$100,0)),0)+IFERROR(SUMPRODUCT(ISNUMBER(SEARCH(B$2,Cooper!$D$4:$D$100))*IFERROR(Cooper!$AS$4:$AY$100,0)),0)+IFERROR(SUMPRODUCT(ISNUMBER(SEARCH(B$2,Summer!$D$4:$D$100))*IFERROR(Summer!$AS$4:$AY$100,0)),0)+IFERROR(SUMPRODUCT(ISNUMBER(SEARCH(B$2,Julie!$D$4:$D$100))*IFERROR(Julie!$AS$4:$AY$100,0)),0)+IFERROR(SUMPRODUCT(ISNUMBER(SEARCH(B$2,Jiao!$D$4:$D$100))*IFERROR(Jiao!$AS$4:$AY$100,0)),0)</f>
      </c>
      <c r="C8" s="94">
        <f>=IFERROR(SUMPRODUCT(ISNUMBER(SEARCH(C$2,KeDa!$D$4:$D$100))*IFERROR(KeDa!$AS$4:$AY$100,0)),0)+IFERROR(SUMPRODUCT(ISNUMBER(SEARCH(C$2,Tank!$D$4:$D$100))*IFERROR(Tank!$AS$4:$AY$100,0)),0)+IFERROR(SUMPRODUCT(ISNUMBER(SEARCH(C$2,Richard!$D$4:$D$100))*IFERROR(Richard!$AS$4:$AY$100,0)),0)+IFERROR(SUMPRODUCT(ISNUMBER(SEARCH(C$2,Jenny!$D$4:$D$100))*IFERROR(Jenny!$AS$4:$AY$100,0)),0)+IFERROR(SUMPRODUCT(ISNUMBER(SEARCH(C$2,Cooper!$D$4:$D$100))*IFERROR(Cooper!$AS$4:$AY$100,0)),0)+IFERROR(SUMPRODUCT(ISNUMBER(SEARCH(C$2,Summer!$D$4:$D$100))*IFERROR(Summer!$AS$4:$AY$100,0)),0)+IFERROR(SUMPRODUCT(ISNUMBER(SEARCH(C$2,Julie!$D$4:$D$100))*IFERROR(Julie!$AS$4:$AY$100,0)),0)+IFERROR(SUMPRODUCT(ISNUMBER(SEARCH(C$2,Jiao!$D$4:$D$100))*IFERROR(Jiao!$AS$4:$AY$100,0)),0)</f>
      </c>
      <c r="D8" s="94">
        <f>=IFERROR(SUMPRODUCT(ISNUMBER(SEARCH(D$2,KeDa!$D$4:$D$100))*IFERROR(KeDa!$AS$4:$AY$100,0)),0)+IFERROR(SUMPRODUCT(ISNUMBER(SEARCH(D$2,Tank!$D$4:$D$100))*IFERROR(Tank!$AS$4:$AY$100,0)),0)+IFERROR(SUMPRODUCT(ISNUMBER(SEARCH(D$2,Richard!$D$4:$D$100))*IFERROR(Richard!$AS$4:$AY$100,0)),0)+IFERROR(SUMPRODUCT(ISNUMBER(SEARCH(D$2,Jenny!$D$4:$D$100))*IFERROR(Jenny!$AS$4:$AY$100,0)),0)+IFERROR(SUMPRODUCT(ISNUMBER(SEARCH(D$2,Cooper!$D$4:$D$100))*IFERROR(Cooper!$AS$4:$AY$100,0)),0)+IFERROR(SUMPRODUCT(ISNUMBER(SEARCH(D$2,Summer!$D$4:$D$100))*IFERROR(Summer!$AS$4:$AY$100,0)),0)+IFERROR(SUMPRODUCT(ISNUMBER(SEARCH(D$2,Julie!$D$4:$D$100))*IFERROR(Julie!$AS$4:$AY$100,0)),0)+IFERROR(SUMPRODUCT(ISNUMBER(SEARCH(D$2,Jiao!$D$4:$D$100))*IFERROR(Jiao!$AS$4:$AY$100,0)),0)</f>
      </c>
      <c r="E8" s="94">
        <f>=IFERROR(SUMPRODUCT(ISNUMBER(SEARCH(E$2,KeDa!$D$4:$D$100))*IFERROR(KeDa!$AS$4:$AY$100,0)),0)+IFERROR(SUMPRODUCT(ISNUMBER(SEARCH(E$2,Tank!$D$4:$D$100))*IFERROR(Tank!$AS$4:$AY$100,0)),0)+IFERROR(SUMPRODUCT(ISNUMBER(SEARCH(E$2,Richard!$D$4:$D$100))*IFERROR(Richard!$AS$4:$AY$100,0)),0)+IFERROR(SUMPRODUCT(ISNUMBER(SEARCH(E$2,Jenny!$D$4:$D$100))*IFERROR(Jenny!$AS$4:$AY$100,0)),0)+IFERROR(SUMPRODUCT(ISNUMBER(SEARCH(E$2,Cooper!$D$4:$D$100))*IFERROR(Cooper!$AS$4:$AY$100,0)),0)+IFERROR(SUMPRODUCT(ISNUMBER(SEARCH(E$2,Summer!$D$4:$D$100))*IFERROR(Summer!$AS$4:$AY$100,0)),0)+IFERROR(SUMPRODUCT(ISNUMBER(SEARCH(E$2,Julie!$D$4:$D$100))*IFERROR(Julie!$AS$4:$AY$100,0)),0)+IFERROR(SUMPRODUCT(ISNUMBER(SEARCH(E$2,Jiao!$D$4:$D$100))*IFERROR(Jiao!$AS$4:$AY$100,0)),0)</f>
      </c>
    </row>
    <row r="9" spans="1:5">
      <c r="A9" s="92">
        <v>7</v>
      </c>
      <c r="B9" s="94">
        <f>=IFERROR(SUMPRODUCT(ISNUMBER(SEARCH(B$2,KeDa!$D$4:$D$100))*IFERROR(KeDa!$BA$4:$BG$100,0)),0)+IFERROR(SUMPRODUCT(ISNUMBER(SEARCH(B$2,Tank!$D$4:$D$100))*IFERROR(Tank!$BA$4:$BG$100,0)),0)+IFERROR(SUMPRODUCT(ISNUMBER(SEARCH(B$2,Richard!$D$4:$D$100))*IFERROR(Richard!$BA$4:$BG$100,0)),0)+IFERROR(SUMPRODUCT(ISNUMBER(SEARCH(B$2,Jenny!$D$4:$D$100))*IFERROR(Jenny!$BA$4:$BG$100,0)),0)+IFERROR(SUMPRODUCT(ISNUMBER(SEARCH(B$2,Cooper!$D$4:$D$100))*IFERROR(Cooper!$BA$4:$BG$100,0)),0)+IFERROR(SUMPRODUCT(ISNUMBER(SEARCH(B$2,Summer!$D$4:$D$100))*IFERROR(Summer!$BA$4:$BG$100,0)),0)+IFERROR(SUMPRODUCT(ISNUMBER(SEARCH(B$2,Julie!$D$4:$D$100))*IFERROR(Julie!$BA$4:$BG$100,0)),0)+IFERROR(SUMPRODUCT(ISNUMBER(SEARCH(B$2,Jiao!$D$4:$D$100))*IFERROR(Jiao!$BA$4:$BG$100,0)),0)</f>
      </c>
      <c r="C9" s="94">
        <f>=IFERROR(SUMPRODUCT(ISNUMBER(SEARCH(C$2,KeDa!$D$4:$D$100))*IFERROR(KeDa!$BA$4:$BG$100,0)),0)+IFERROR(SUMPRODUCT(ISNUMBER(SEARCH(C$2,Tank!$D$4:$D$100))*IFERROR(Tank!$BA$4:$BG$100,0)),0)+IFERROR(SUMPRODUCT(ISNUMBER(SEARCH(C$2,Richard!$D$4:$D$100))*IFERROR(Richard!$BA$4:$BG$100,0)),0)+IFERROR(SUMPRODUCT(ISNUMBER(SEARCH(C$2,Jenny!$D$4:$D$100))*IFERROR(Jenny!$BA$4:$BG$100,0)),0)+IFERROR(SUMPRODUCT(ISNUMBER(SEARCH(C$2,Cooper!$D$4:$D$100))*IFERROR(Cooper!$BA$4:$BG$100,0)),0)+IFERROR(SUMPRODUCT(ISNUMBER(SEARCH(C$2,Summer!$D$4:$D$100))*IFERROR(Summer!$BA$4:$BG$100,0)),0)+IFERROR(SUMPRODUCT(ISNUMBER(SEARCH(C$2,Julie!$D$4:$D$100))*IFERROR(Julie!$BA$4:$BG$100,0)),0)+IFERROR(SUMPRODUCT(ISNUMBER(SEARCH(C$2,Jiao!$D$4:$D$100))*IFERROR(Jiao!$BA$4:$BG$100,0)),0)</f>
      </c>
      <c r="D9" s="94">
        <f>=IFERROR(SUMPRODUCT(ISNUMBER(SEARCH(D$2,KeDa!$D$4:$D$100))*IFERROR(KeDa!$BA$4:$BG$100,0)),0)+IFERROR(SUMPRODUCT(ISNUMBER(SEARCH(D$2,Tank!$D$4:$D$100))*IFERROR(Tank!$BA$4:$BG$100,0)),0)+IFERROR(SUMPRODUCT(ISNUMBER(SEARCH(D$2,Richard!$D$4:$D$100))*IFERROR(Richard!$BA$4:$BG$100,0)),0)+IFERROR(SUMPRODUCT(ISNUMBER(SEARCH(D$2,Jenny!$D$4:$D$100))*IFERROR(Jenny!$BA$4:$BG$100,0)),0)+IFERROR(SUMPRODUCT(ISNUMBER(SEARCH(D$2,Cooper!$D$4:$D$100))*IFERROR(Cooper!$BA$4:$BG$100,0)),0)+IFERROR(SUMPRODUCT(ISNUMBER(SEARCH(D$2,Summer!$D$4:$D$100))*IFERROR(Summer!$BA$4:$BG$100,0)),0)+IFERROR(SUMPRODUCT(ISNUMBER(SEARCH(D$2,Julie!$D$4:$D$100))*IFERROR(Julie!$BA$4:$BG$100,0)),0)+IFERROR(SUMPRODUCT(ISNUMBER(SEARCH(D$2,Jiao!$D$4:$D$100))*IFERROR(Jiao!$BA$4:$BG$100,0)),0)</f>
      </c>
      <c r="E9" s="94">
        <f>=IFERROR(SUMPRODUCT(ISNUMBER(SEARCH(E$2,KeDa!$D$4:$D$100))*IFERROR(KeDa!$BA$4:$BG$100,0)),0)+IFERROR(SUMPRODUCT(ISNUMBER(SEARCH(E$2,Tank!$D$4:$D$100))*IFERROR(Tank!$BA$4:$BG$100,0)),0)+IFERROR(SUMPRODUCT(ISNUMBER(SEARCH(E$2,Richard!$D$4:$D$100))*IFERROR(Richard!$BA$4:$BG$100,0)),0)+IFERROR(SUMPRODUCT(ISNUMBER(SEARCH(E$2,Jenny!$D$4:$D$100))*IFERROR(Jenny!$BA$4:$BG$100,0)),0)+IFERROR(SUMPRODUCT(ISNUMBER(SEARCH(E$2,Cooper!$D$4:$D$100))*IFERROR(Cooper!$BA$4:$BG$100,0)),0)+IFERROR(SUMPRODUCT(ISNUMBER(SEARCH(E$2,Summer!$D$4:$D$100))*IFERROR(Summer!$BA$4:$BG$100,0)),0)+IFERROR(SUMPRODUCT(ISNUMBER(SEARCH(E$2,Julie!$D$4:$D$100))*IFERROR(Julie!$BA$4:$BG$100,0)),0)+IFERROR(SUMPRODUCT(ISNUMBER(SEARCH(E$2,Jiao!$D$4:$D$100))*IFERROR(Jiao!$BA$4:$BG$100,0)),0)</f>
      </c>
    </row>
    <row r="10" spans="1:5">
      <c r="A10" s="92">
        <v>8</v>
      </c>
      <c r="B10" s="94">
        <f>=IFERROR(SUMPRODUCT(ISNUMBER(SEARCH(B$2,KeDa!$D$4:$D$100))*IFERROR(KeDa!$BI$4:$BO$100,0)),0)+IFERROR(SUMPRODUCT(ISNUMBER(SEARCH(B$2,Tank!$D$4:$D$100))*IFERROR(Tank!$BI$4:$BO$100,0)),0)+IFERROR(SUMPRODUCT(ISNUMBER(SEARCH(B$2,Richard!$D$4:$D$100))*IFERROR(Richard!$BI$4:$BO$100,0)),0)+IFERROR(SUMPRODUCT(ISNUMBER(SEARCH(B$2,Jenny!$D$4:$D$100))*IFERROR(Jenny!$BI$4:$BO$100,0)),0)+IFERROR(SUMPRODUCT(ISNUMBER(SEARCH(B$2,Cooper!$D$4:$D$100))*IFERROR(Cooper!$BI$4:$BO$100,0)),0)+IFERROR(SUMPRODUCT(ISNUMBER(SEARCH(B$2,Summer!$D$4:$D$100))*IFERROR(Summer!$BI$4:$BO$100,0)),0)+IFERROR(SUMPRODUCT(ISNUMBER(SEARCH(B$2,Julie!$D$4:$D$100))*IFERROR(Julie!$BI$4:$BO$100,0)),0)+IFERROR(SUMPRODUCT(ISNUMBER(SEARCH(B$2,Jiao!$D$4:$D$100))*IFERROR(Jiao!$BI$4:$BO$100,0)),0)</f>
      </c>
      <c r="C10" s="94">
        <f>=IFERROR(SUMPRODUCT(ISNUMBER(SEARCH(C$2,KeDa!$D$4:$D$100))*IFERROR(KeDa!$BI$4:$BO$100,0)),0)+IFERROR(SUMPRODUCT(ISNUMBER(SEARCH(C$2,Tank!$D$4:$D$100))*IFERROR(Tank!$BI$4:$BO$100,0)),0)+IFERROR(SUMPRODUCT(ISNUMBER(SEARCH(C$2,Richard!$D$4:$D$100))*IFERROR(Richard!$BI$4:$BO$100,0)),0)+IFERROR(SUMPRODUCT(ISNUMBER(SEARCH(C$2,Jenny!$D$4:$D$100))*IFERROR(Jenny!$BI$4:$BO$100,0)),0)+IFERROR(SUMPRODUCT(ISNUMBER(SEARCH(C$2,Cooper!$D$4:$D$100))*IFERROR(Cooper!$BI$4:$BO$100,0)),0)+IFERROR(SUMPRODUCT(ISNUMBER(SEARCH(C$2,Summer!$D$4:$D$100))*IFERROR(Summer!$BI$4:$BO$100,0)),0)+IFERROR(SUMPRODUCT(ISNUMBER(SEARCH(C$2,Julie!$D$4:$D$100))*IFERROR(Julie!$BI$4:$BO$100,0)),0)+IFERROR(SUMPRODUCT(ISNUMBER(SEARCH(C$2,Jiao!$D$4:$D$100))*IFERROR(Jiao!$BI$4:$BO$100,0)),0)</f>
      </c>
      <c r="D10" s="94">
        <f>=IFERROR(SUMPRODUCT(ISNUMBER(SEARCH(D$2,KeDa!$D$4:$D$100))*IFERROR(KeDa!$BI$4:$BO$100,0)),0)+IFERROR(SUMPRODUCT(ISNUMBER(SEARCH(D$2,Tank!$D$4:$D$100))*IFERROR(Tank!$BI$4:$BO$100,0)),0)+IFERROR(SUMPRODUCT(ISNUMBER(SEARCH(D$2,Richard!$D$4:$D$100))*IFERROR(Richard!$BI$4:$BO$100,0)),0)+IFERROR(SUMPRODUCT(ISNUMBER(SEARCH(D$2,Jenny!$D$4:$D$100))*IFERROR(Jenny!$BI$4:$BO$100,0)),0)+IFERROR(SUMPRODUCT(ISNUMBER(SEARCH(D$2,Cooper!$D$4:$D$100))*IFERROR(Cooper!$BI$4:$BO$100,0)),0)+IFERROR(SUMPRODUCT(ISNUMBER(SEARCH(D$2,Summer!$D$4:$D$100))*IFERROR(Summer!$BI$4:$BO$100,0)),0)+IFERROR(SUMPRODUCT(ISNUMBER(SEARCH(D$2,Julie!$D$4:$D$100))*IFERROR(Julie!$BI$4:$BO$100,0)),0)+IFERROR(SUMPRODUCT(ISNUMBER(SEARCH(D$2,Jiao!$D$4:$D$100))*IFERROR(Jiao!$BI$4:$BO$100,0)),0)</f>
      </c>
      <c r="E10" s="94">
        <f>=IFERROR(SUMPRODUCT(ISNUMBER(SEARCH(E$2,KeDa!$D$4:$D$100))*IFERROR(KeDa!$BI$4:$BO$100,0)),0)+IFERROR(SUMPRODUCT(ISNUMBER(SEARCH(E$2,Tank!$D$4:$D$100))*IFERROR(Tank!$BI$4:$BO$100,0)),0)+IFERROR(SUMPRODUCT(ISNUMBER(SEARCH(E$2,Richard!$D$4:$D$100))*IFERROR(Richard!$BI$4:$BO$100,0)),0)+IFERROR(SUMPRODUCT(ISNUMBER(SEARCH(E$2,Jenny!$D$4:$D$100))*IFERROR(Jenny!$BI$4:$BO$100,0)),0)+IFERROR(SUMPRODUCT(ISNUMBER(SEARCH(E$2,Cooper!$D$4:$D$100))*IFERROR(Cooper!$BI$4:$BO$100,0)),0)+IFERROR(SUMPRODUCT(ISNUMBER(SEARCH(E$2,Summer!$D$4:$D$100))*IFERROR(Summer!$BI$4:$BO$100,0)),0)+IFERROR(SUMPRODUCT(ISNUMBER(SEARCH(E$2,Julie!$D$4:$D$100))*IFERROR(Julie!$BI$4:$BO$100,0)),0)+IFERROR(SUMPRODUCT(ISNUMBER(SEARCH(E$2,Jiao!$D$4:$D$100))*IFERROR(Jiao!$BI$4:$BO$100,0)),0)</f>
      </c>
    </row>
    <row r="11" spans="1:5">
      <c r="A11" s="95">
        <v>9</v>
      </c>
      <c r="B11" s="94">
        <f>=IFERROR(SUMPRODUCT(ISNUMBER(SEARCH(B$2,KeDa!$D$4:$D$100))*IFERROR(KeDa!$BQ$4:$BW$100,0)),0)+IFERROR(SUMPRODUCT(ISNUMBER(SEARCH(B$2,Tank!$D$4:$D$100))*IFERROR(Tank!$BQ$4:$BW$100,0)),0)+IFERROR(SUMPRODUCT(ISNUMBER(SEARCH(B$2,Richard!$D$4:$D$100))*IFERROR(Richard!$BQ$4:$BW$100,0)),0)+IFERROR(SUMPRODUCT(ISNUMBER(SEARCH(B$2,Jenny!$D$4:$D$100))*IFERROR(Jenny!$BQ$4:$BW$100,0)),0)+IFERROR(SUMPRODUCT(ISNUMBER(SEARCH(B$2,Cooper!$D$4:$D$100))*IFERROR(Cooper!$BQ$4:$BW$100,0)),0)+IFERROR(SUMPRODUCT(ISNUMBER(SEARCH(B$2,Summer!$D$4:$D$100))*IFERROR(Summer!$BQ$4:$BW$100,0)),0)+IFERROR(SUMPRODUCT(ISNUMBER(SEARCH(B$2,Julie!$D$4:$D$100))*IFERROR(Julie!$BQ$4:$BW$100,0)),0)+IFERROR(SUMPRODUCT(ISNUMBER(SEARCH(B$2,Jiao!$D$4:$D$100))*IFERROR(Jiao!$BQ$4:$BW$100,0)),0)</f>
      </c>
      <c r="C11" s="94">
        <f>=IFERROR(SUMPRODUCT(ISNUMBER(SEARCH(C$2,KeDa!$D$4:$D$100))*IFERROR(KeDa!$BQ$4:$BW$100,0)),0)+IFERROR(SUMPRODUCT(ISNUMBER(SEARCH(C$2,Tank!$D$4:$D$100))*IFERROR(Tank!$BQ$4:$BW$100,0)),0)+IFERROR(SUMPRODUCT(ISNUMBER(SEARCH(C$2,Richard!$D$4:$D$100))*IFERROR(Richard!$BQ$4:$BW$100,0)),0)+IFERROR(SUMPRODUCT(ISNUMBER(SEARCH(C$2,Jenny!$D$4:$D$100))*IFERROR(Jenny!$BQ$4:$BW$100,0)),0)+IFERROR(SUMPRODUCT(ISNUMBER(SEARCH(C$2,Cooper!$D$4:$D$100))*IFERROR(Cooper!$BQ$4:$BW$100,0)),0)+IFERROR(SUMPRODUCT(ISNUMBER(SEARCH(C$2,Summer!$D$4:$D$100))*IFERROR(Summer!$BQ$4:$BW$100,0)),0)+IFERROR(SUMPRODUCT(ISNUMBER(SEARCH(C$2,Julie!$D$4:$D$100))*IFERROR(Julie!$BQ$4:$BW$100,0)),0)+IFERROR(SUMPRODUCT(ISNUMBER(SEARCH(C$2,Jiao!$D$4:$D$100))*IFERROR(Jiao!$BQ$4:$BW$100,0)),0)</f>
      </c>
      <c r="D11" s="94">
        <f>=IFERROR(SUMPRODUCT(ISNUMBER(SEARCH(D$2,KeDa!$D$4:$D$100))*IFERROR(KeDa!$BQ$4:$BW$100,0)),0)+IFERROR(SUMPRODUCT(ISNUMBER(SEARCH(D$2,Tank!$D$4:$D$100))*IFERROR(Tank!$BQ$4:$BW$100,0)),0)+IFERROR(SUMPRODUCT(ISNUMBER(SEARCH(D$2,Richard!$D$4:$D$100))*IFERROR(Richard!$BQ$4:$BW$100,0)),0)+IFERROR(SUMPRODUCT(ISNUMBER(SEARCH(D$2,Jenny!$D$4:$D$100))*IFERROR(Jenny!$BQ$4:$BW$100,0)),0)+IFERROR(SUMPRODUCT(ISNUMBER(SEARCH(D$2,Cooper!$D$4:$D$100))*IFERROR(Cooper!$BQ$4:$BW$100,0)),0)+IFERROR(SUMPRODUCT(ISNUMBER(SEARCH(D$2,Summer!$D$4:$D$100))*IFERROR(Summer!$BQ$4:$BW$100,0)),0)+IFERROR(SUMPRODUCT(ISNUMBER(SEARCH(D$2,Julie!$D$4:$D$100))*IFERROR(Julie!$BQ$4:$BW$100,0)),0)+IFERROR(SUMPRODUCT(ISNUMBER(SEARCH(D$2,Jiao!$D$4:$D$100))*IFERROR(Jiao!$BQ$4:$BW$100,0)),0)</f>
      </c>
      <c r="E11" s="94">
        <f>=IFERROR(SUMPRODUCT(ISNUMBER(SEARCH(E$2,KeDa!$D$4:$D$100))*IFERROR(KeDa!$BQ$4:$BW$100,0)),0)+IFERROR(SUMPRODUCT(ISNUMBER(SEARCH(E$2,Tank!$D$4:$D$100))*IFERROR(Tank!$BQ$4:$BW$100,0)),0)+IFERROR(SUMPRODUCT(ISNUMBER(SEARCH(E$2,Richard!$D$4:$D$100))*IFERROR(Richard!$BQ$4:$BW$100,0)),0)+IFERROR(SUMPRODUCT(ISNUMBER(SEARCH(E$2,Jenny!$D$4:$D$100))*IFERROR(Jenny!$BQ$4:$BW$100,0)),0)+IFERROR(SUMPRODUCT(ISNUMBER(SEARCH(E$2,Cooper!$D$4:$D$100))*IFERROR(Cooper!$BQ$4:$BW$100,0)),0)+IFERROR(SUMPRODUCT(ISNUMBER(SEARCH(E$2,Summer!$D$4:$D$100))*IFERROR(Summer!$BQ$4:$BW$100,0)),0)+IFERROR(SUMPRODUCT(ISNUMBER(SEARCH(E$2,Julie!$D$4:$D$100))*IFERROR(Julie!$BQ$4:$BW$100,0)),0)+IFERROR(SUMPRODUCT(ISNUMBER(SEARCH(E$2,Jiao!$D$4:$D$100))*IFERROR(Jiao!$BQ$4:$BW$100,0)),0)</f>
      </c>
    </row>
    <row r="12" spans="1:5">
      <c r="A12" s="95">
        <v>10</v>
      </c>
      <c r="B12" s="94">
        <f>=IFERROR(SUMPRODUCT(ISNUMBER(SEARCH(B$2,KeDa!$D$4:$D$100))*IFERROR(KeDa!$BY$4:$CE$100,0)),0)+IFERROR(SUMPRODUCT(ISNUMBER(SEARCH(B$2,Tank!$D$4:$D$100))*IFERROR(Tank!$BY$4:$CE$100,0)),0)+IFERROR(SUMPRODUCT(ISNUMBER(SEARCH(B$2,Richard!$D$4:$D$100))*IFERROR(Richard!$BY$4:$CE$100,0)),0)+IFERROR(SUMPRODUCT(ISNUMBER(SEARCH(B$2,Jenny!$D$4:$D$100))*IFERROR(Jenny!$BY$4:$CE$100,0)),0)+IFERROR(SUMPRODUCT(ISNUMBER(SEARCH(B$2,Cooper!$D$4:$D$100))*IFERROR(Cooper!$BY$4:$CE$100,0)),0)+IFERROR(SUMPRODUCT(ISNUMBER(SEARCH(B$2,Summer!$D$4:$D$100))*IFERROR(Summer!$BY$4:$CE$100,0)),0)+IFERROR(SUMPRODUCT(ISNUMBER(SEARCH(B$2,Julie!$D$4:$D$100))*IFERROR(Julie!$BY$4:$CE$100,0)),0)+IFERROR(SUMPRODUCT(ISNUMBER(SEARCH(B$2,Jiao!$D$4:$D$100))*IFERROR(Jiao!$BY$4:$CE$100,0)),0)</f>
      </c>
      <c r="C12" s="94">
        <f>=IFERROR(SUMPRODUCT(ISNUMBER(SEARCH(C$2,KeDa!$D$4:$D$100))*IFERROR(KeDa!$BY$4:$CE$100,0)),0)+IFERROR(SUMPRODUCT(ISNUMBER(SEARCH(C$2,Tank!$D$4:$D$100))*IFERROR(Tank!$BY$4:$CE$100,0)),0)+IFERROR(SUMPRODUCT(ISNUMBER(SEARCH(C$2,Richard!$D$4:$D$100))*IFERROR(Richard!$BY$4:$CE$100,0)),0)+IFERROR(SUMPRODUCT(ISNUMBER(SEARCH(C$2,Jenny!$D$4:$D$100))*IFERROR(Jenny!$BY$4:$CE$100,0)),0)+IFERROR(SUMPRODUCT(ISNUMBER(SEARCH(C$2,Cooper!$D$4:$D$100))*IFERROR(Cooper!$BY$4:$CE$100,0)),0)+IFERROR(SUMPRODUCT(ISNUMBER(SEARCH(C$2,Summer!$D$4:$D$100))*IFERROR(Summer!$BY$4:$CE$100,0)),0)+IFERROR(SUMPRODUCT(ISNUMBER(SEARCH(C$2,Julie!$D$4:$D$100))*IFERROR(Julie!$BY$4:$CE$100,0)),0)+IFERROR(SUMPRODUCT(ISNUMBER(SEARCH(C$2,Jiao!$D$4:$D$100))*IFERROR(Jiao!$BY$4:$CE$100,0)),0)</f>
      </c>
      <c r="D12" s="94">
        <f>=IFERROR(SUMPRODUCT(ISNUMBER(SEARCH(D$2,KeDa!$D$4:$D$100))*IFERROR(KeDa!$BY$4:$CE$100,0)),0)+IFERROR(SUMPRODUCT(ISNUMBER(SEARCH(D$2,Tank!$D$4:$D$100))*IFERROR(Tank!$BY$4:$CE$100,0)),0)+IFERROR(SUMPRODUCT(ISNUMBER(SEARCH(D$2,Richard!$D$4:$D$100))*IFERROR(Richard!$BY$4:$CE$100,0)),0)+IFERROR(SUMPRODUCT(ISNUMBER(SEARCH(D$2,Jenny!$D$4:$D$100))*IFERROR(Jenny!$BY$4:$CE$100,0)),0)+IFERROR(SUMPRODUCT(ISNUMBER(SEARCH(D$2,Cooper!$D$4:$D$100))*IFERROR(Cooper!$BY$4:$CE$100,0)),0)+IFERROR(SUMPRODUCT(ISNUMBER(SEARCH(D$2,Summer!$D$4:$D$100))*IFERROR(Summer!$BY$4:$CE$100,0)),0)+IFERROR(SUMPRODUCT(ISNUMBER(SEARCH(D$2,Julie!$D$4:$D$100))*IFERROR(Julie!$BY$4:$CE$100,0)),0)+IFERROR(SUMPRODUCT(ISNUMBER(SEARCH(D$2,Jiao!$D$4:$D$100))*IFERROR(Jiao!$BY$4:$CE$100,0)),0)</f>
      </c>
      <c r="E12" s="94">
        <f>=IFERROR(SUMPRODUCT(ISNUMBER(SEARCH(E$2,KeDa!$D$4:$D$100))*IFERROR(KeDa!$BY$4:$CE$100,0)),0)+IFERROR(SUMPRODUCT(ISNUMBER(SEARCH(E$2,Tank!$D$4:$D$100))*IFERROR(Tank!$BY$4:$CE$100,0)),0)+IFERROR(SUMPRODUCT(ISNUMBER(SEARCH(E$2,Richard!$D$4:$D$100))*IFERROR(Richard!$BY$4:$CE$100,0)),0)+IFERROR(SUMPRODUCT(ISNUMBER(SEARCH(E$2,Jenny!$D$4:$D$100))*IFERROR(Jenny!$BY$4:$CE$100,0)),0)+IFERROR(SUMPRODUCT(ISNUMBER(SEARCH(E$2,Cooper!$D$4:$D$100))*IFERROR(Cooper!$BY$4:$CE$100,0)),0)+IFERROR(SUMPRODUCT(ISNUMBER(SEARCH(E$2,Summer!$D$4:$D$100))*IFERROR(Summer!$BY$4:$CE$100,0)),0)+IFERROR(SUMPRODUCT(ISNUMBER(SEARCH(E$2,Julie!$D$4:$D$100))*IFERROR(Julie!$BY$4:$CE$100,0)),0)+IFERROR(SUMPRODUCT(ISNUMBER(SEARCH(E$2,Jiao!$D$4:$D$100))*IFERROR(Jiao!$BY$4:$CE$100,0)),0)</f>
      </c>
    </row>
    <row r="13" spans="1:5">
      <c r="A13" s="96" t="s">
        <v>142</v>
      </c>
      <c r="B13" s="97">
        <f>=SUM(B3:B12)</f>
      </c>
      <c r="C13" s="97">
        <f>=SUM(C3:C12)</f>
      </c>
      <c r="D13" s="97">
        <f>=SUM(D3:D12)</f>
      </c>
      <c r="E13" s="97">
        <f>=SUM(E3:E12)</f>
      </c>
    </row>
    <row r="14" spans="1:5" ht="402" customHeight="true">
      <c r="A14" s="98" t="s">
        <v>143</v>
      </c>
      <c r="B14" s="99" t="s"/>
      <c r="C14" s="100" t="s">
        <v>144</v>
      </c>
      <c r="D14" s="101" t="s"/>
      <c r="E14" s="101" t="s"/>
    </row>
    <row r="21" spans="1:1">
      <c r="A21" s="102" t="s">
        <v>145</v>
      </c>
    </row>
    <row r="22" spans="1:1">
      <c r="A22" s="102" t="s">
        <v>146</v>
      </c>
    </row>
    <row r="23" spans="1:1">
      <c r="A23" s="102" t="s">
        <v>147</v>
      </c>
    </row>
    <row r="24" spans="1:1">
      <c r="A24" s="102" t="s">
        <v>148</v>
      </c>
    </row>
    <row r="25" spans="1:1">
      <c r="A25" s="102" t="s">
        <v>149</v>
      </c>
    </row>
    <row r="26" spans="1:1">
      <c r="A26" s="102" t="s">
        <v>150</v>
      </c>
    </row>
    <row r="27" spans="1:1">
      <c r="A27" s="102" t="s">
        <v>151</v>
      </c>
    </row>
    <row r="28" spans="1:1">
      <c r="A28" s="102" t="s">
        <v>152</v>
      </c>
    </row>
    <row r="29" spans="1:1">
      <c r="A29" s="102" t="s">
        <v>153</v>
      </c>
    </row>
    <row r="30" spans="1:1">
      <c r="A30" s="102" t="s">
        <v>154</v>
      </c>
    </row>
    <row r="31" spans="1:1">
      <c r="A31" s="102" t="s"/>
    </row>
  </sheetData>
  <mergeCells count="3">
    <mergeCell ref="A1:E1"/>
    <mergeCell ref="A14:B14"/>
    <mergeCell ref="C14:E14"/>
  </mergeCells>
</worksheet>
</file>

<file path=xl/worksheets/sheet3.xml><?xml version="1.0" encoding="utf-8"?>
<worksheet xmlns="http://schemas.openxmlformats.org/spreadsheetml/2006/main">
  <sheetPr codeName="Tesla">
    <tabColor rgb="FFFFFFFF"/>
  </sheetPr>
  <dimension ref="K12"/>
  <sheetViews>
    <sheetView showGridLines="true" workbookViewId="0"/>
  </sheetViews>
  <cols>
    <col min="1" max="1" width="8.71094" customWidth="true"/>
    <col min="2" max="2" width="22.2539" customWidth="true"/>
    <col min="3" max="4" width="21.7109" customWidth="true"/>
    <col min="5" max="5" width="26.7109" customWidth="true"/>
    <col min="6" max="6" width="20.7109" customWidth="true"/>
    <col min="7" max="7" width="20.7109" customWidth="true"/>
    <col min="8" max="8" width="21.7109" customWidth="true"/>
    <col min="9" max="9" width="24.7109" customWidth="true"/>
    <col min="10" max="10" width="13.7109" customWidth="true"/>
    <col min="11" max="11" width="14.7109" customWidth="true"/>
  </cols>
  <sheetData>
    <row r="1" spans="1:9">
      <c r="A1" s="52" t="s">
        <v>118</v>
      </c>
      <c r="C1" s="53" t="s">
        <v>1</v>
      </c>
      <c r="D1" s="53" t="s">
        <v>1</v>
      </c>
      <c r="E1" s="35" t="s">
        <v>108</v>
      </c>
      <c r="I1" s="36" t="s">
        <v>13</v>
      </c>
    </row>
    <row r="2" spans="1:11">
      <c r="A2" s="59" t="s">
        <v>155</v>
      </c>
      <c r="B2" s="60" t="s">
        <v>156</v>
      </c>
      <c r="C2" s="60" t="s">
        <v>157</v>
      </c>
      <c r="D2" s="61" t="s">
        <v>14</v>
      </c>
      <c r="E2" s="38" t="s">
        <v>15</v>
      </c>
      <c r="F2" s="38" t="s">
        <v>16</v>
      </c>
      <c r="G2" s="38" t="s">
        <v>17</v>
      </c>
      <c r="H2" s="38" t="s">
        <v>18</v>
      </c>
      <c r="I2" s="38" t="s">
        <v>19</v>
      </c>
      <c r="J2" s="38" t="s">
        <v>20</v>
      </c>
      <c r="K2" s="38" t="s">
        <v>21</v>
      </c>
    </row>
    <row r="3" spans="1:11">
      <c r="A3" s="78">
        <v>1</v>
      </c>
      <c r="B3" s="24" t="s">
        <v>162</v>
      </c>
      <c r="C3" s="24" t="s">
        <v>97</v>
      </c>
      <c r="D3" s="24" t="s">
        <v>98</v>
      </c>
      <c r="E3" s="41">
        <f>=IFERROR(SUMPRODUCT((ISNUMBER(SEARCH($B3,KeDa!$B$4:$B$100)))*(LEFT(TRIM(KeDa!$E$3:$CE$3),LEN(TRIM(E$2)))=TRIM(E$2))*IFERROR(KeDa!$E$4:$CE$100,0)),0)+IFERROR(SUMPRODUCT((ISNUMBER(SEARCH($B3,Tank!$B$4:$B$100)))*(LEFT(TRIM(Tank!$E$3:$CE$3),LEN(TRIM(E$2)))=TRIM(E$2))*IFERROR(Tank!$E$4:$CE$100,0)),0)+IFERROR(SUMPRODUCT((ISNUMBER(SEARCH($B3,Richard!$B$4:$B$100)))*(LEFT(TRIM(Richard!$E$3:$CE$3),LEN(TRIM(E$2)))=TRIM(E$2))*IFERROR(Richard!$E$4:$CE$100,0)),0)+IFERROR(SUMPRODUCT((ISNUMBER(SEARCH($B3,Jenny!$B$4:$B$100)))*(LEFT(TRIM(Jenny!$E$3:$CE$3),LEN(TRIM(E$2)))=TRIM(E$2))*IFERROR(Jenny!$E$4:$CE$100,0)),0)+IFERROR(SUMPRODUCT((ISNUMBER(SEARCH($B3,Cooper!$B$4:$B$100)))*(LEFT(TRIM(Cooper!$E$3:$CE$3),LEN(TRIM(E$2)))=TRIM(E$2))*IFERROR(Cooper!$E$4:$CE$100,0)),0)+IFERROR(SUMPRODUCT((ISNUMBER(SEARCH($B3,Summer!$B$4:$B$100)))*(LEFT(TRIM(Summer!$E$3:$CE$3),LEN(TRIM(E$2)))=TRIM(E$2))*IFERROR(Summer!$E$4:$CE$100,0)),0)+IFERROR(SUMPRODUCT((ISNUMBER(SEARCH($B3,Julie!$B$4:$B$100)))*(LEFT(TRIM(Julie!$E$3:$CE$3),LEN(TRIM(E$2)))=TRIM(E$2))*IFERROR(Julie!$E$4:$CE$100,0)),0)+IFERROR(SUMPRODUCT((ISNUMBER(SEARCH($B3,Jiao!$B$4:$B$100)))*(LEFT(TRIM(Jiao!$E$3:$CE$3),LEN(TRIM(E$2)))=TRIM(E$2))*IFERROR(Jiao!$E$4:$CE$100,0)),0)</f>
      </c>
      <c r="F3" s="41">
        <f>=IFERROR(SUMPRODUCT((ISNUMBER(SEARCH($B3,KeDa!$B$4:$B$100)))*(LEFT(TRIM(KeDa!$E$3:$CE$3),LEN(TRIM(F$2)))=TRIM(F$2))*IFERROR(KeDa!$E$4:$CE$100,0)),0)+IFERROR(SUMPRODUCT((ISNUMBER(SEARCH($B3,Tank!$B$4:$B$100)))*(LEFT(TRIM(Tank!$E$3:$CE$3),LEN(TRIM(F$2)))=TRIM(F$2))*IFERROR(Tank!$E$4:$CE$100,0)),0)+IFERROR(SUMPRODUCT((ISNUMBER(SEARCH($B3,Richard!$B$4:$B$100)))*(LEFT(TRIM(Richard!$E$3:$CE$3),LEN(TRIM(F$2)))=TRIM(F$2))*IFERROR(Richard!$E$4:$CE$100,0)),0)+IFERROR(SUMPRODUCT((ISNUMBER(SEARCH($B3,Jenny!$B$4:$B$100)))*(LEFT(TRIM(Jenny!$E$3:$CE$3),LEN(TRIM(F$2)))=TRIM(F$2))*IFERROR(Jenny!$E$4:$CE$100,0)),0)+IFERROR(SUMPRODUCT((ISNUMBER(SEARCH($B3,Cooper!$B$4:$B$100)))*(LEFT(TRIM(Cooper!$E$3:$CE$3),LEN(TRIM(F$2)))=TRIM(F$2))*IFERROR(Cooper!$E$4:$CE$100,0)),0)+IFERROR(SUMPRODUCT((ISNUMBER(SEARCH($B3,Summer!$B$4:$B$100)))*(LEFT(TRIM(Summer!$E$3:$CE$3),LEN(TRIM(F$2)))=TRIM(F$2))*IFERROR(Summer!$E$4:$CE$100,0)),0)+IFERROR(SUMPRODUCT((ISNUMBER(SEARCH($B3,Julie!$B$4:$B$100)))*(LEFT(TRIM(Julie!$E$3:$CE$3),LEN(TRIM(F$2)))=TRIM(F$2))*IFERROR(Julie!$E$4:$CE$100,0)),0)+IFERROR(SUMPRODUCT((ISNUMBER(SEARCH($B3,Jiao!$B$4:$B$100)))*(LEFT(TRIM(Jiao!$E$3:$CE$3),LEN(TRIM(F$2)))=TRIM(F$2))*IFERROR(Jiao!$E$4:$CE$100,0)),0)</f>
      </c>
      <c r="G3" s="41">
        <f>=IFERROR(SUMPRODUCT((ISNUMBER(SEARCH($B3,KeDa!$B$4:$B$100)))*(LEFT(TRIM(KeDa!$E$3:$CE$3),LEN(TRIM(G$2)))=TRIM(G$2))*IFERROR(KeDa!$E$4:$CE$100,0)),0)+IFERROR(SUMPRODUCT((ISNUMBER(SEARCH($B3,Tank!$B$4:$B$100)))*(LEFT(TRIM(Tank!$E$3:$CE$3),LEN(TRIM(G$2)))=TRIM(G$2))*IFERROR(Tank!$E$4:$CE$100,0)),0)+IFERROR(SUMPRODUCT((ISNUMBER(SEARCH($B3,Richard!$B$4:$B$100)))*(LEFT(TRIM(Richard!$E$3:$CE$3),LEN(TRIM(G$2)))=TRIM(G$2))*IFERROR(Richard!$E$4:$CE$100,0)),0)+IFERROR(SUMPRODUCT((ISNUMBER(SEARCH($B3,Jenny!$B$4:$B$100)))*(LEFT(TRIM(Jenny!$E$3:$CE$3),LEN(TRIM(G$2)))=TRIM(G$2))*IFERROR(Jenny!$E$4:$CE$100,0)),0)+IFERROR(SUMPRODUCT((ISNUMBER(SEARCH($B3,Cooper!$B$4:$B$100)))*(LEFT(TRIM(Cooper!$E$3:$CE$3),LEN(TRIM(G$2)))=TRIM(G$2))*IFERROR(Cooper!$E$4:$CE$100,0)),0)+IFERROR(SUMPRODUCT((ISNUMBER(SEARCH($B3,Summer!$B$4:$B$100)))*(LEFT(TRIM(Summer!$E$3:$CE$3),LEN(TRIM(G$2)))=TRIM(G$2))*IFERROR(Summer!$E$4:$CE$100,0)),0)+IFERROR(SUMPRODUCT((ISNUMBER(SEARCH($B3,Julie!$B$4:$B$100)))*(LEFT(TRIM(Julie!$E$3:$CE$3),LEN(TRIM(G$2)))=TRIM(G$2))*IFERROR(Julie!$E$4:$CE$100,0)),0)+IFERROR(SUMPRODUCT((ISNUMBER(SEARCH($B3,Jiao!$B$4:$B$100)))*(LEFT(TRIM(Jiao!$E$3:$CE$3),LEN(TRIM(G$2)))=TRIM(G$2))*IFERROR(Jiao!$E$4:$CE$100,0)),0)</f>
      </c>
      <c r="H3" s="41">
        <f>=IFERROR(SUMPRODUCT((ISNUMBER(SEARCH($B3,KeDa!$B$4:$B$100)))*(LEFT(TRIM(KeDa!$E$3:$CE$3),LEN(TRIM(H$2)))=TRIM(H$2))*IFERROR(KeDa!$E$4:$CE$100,0)),0)+IFERROR(SUMPRODUCT((ISNUMBER(SEARCH($B3,Tank!$B$4:$B$100)))*(LEFT(TRIM(Tank!$E$3:$CE$3),LEN(TRIM(H$2)))=TRIM(H$2))*IFERROR(Tank!$E$4:$CE$100,0)),0)+IFERROR(SUMPRODUCT((ISNUMBER(SEARCH($B3,Richard!$B$4:$B$100)))*(LEFT(TRIM(Richard!$E$3:$CE$3),LEN(TRIM(H$2)))=TRIM(H$2))*IFERROR(Richard!$E$4:$CE$100,0)),0)+IFERROR(SUMPRODUCT((ISNUMBER(SEARCH($B3,Jenny!$B$4:$B$100)))*(LEFT(TRIM(Jenny!$E$3:$CE$3),LEN(TRIM(H$2)))=TRIM(H$2))*IFERROR(Jenny!$E$4:$CE$100,0)),0)+IFERROR(SUMPRODUCT((ISNUMBER(SEARCH($B3,Cooper!$B$4:$B$100)))*(LEFT(TRIM(Cooper!$E$3:$CE$3),LEN(TRIM(H$2)))=TRIM(H$2))*IFERROR(Cooper!$E$4:$CE$100,0)),0)+IFERROR(SUMPRODUCT((ISNUMBER(SEARCH($B3,Summer!$B$4:$B$100)))*(LEFT(TRIM(Summer!$E$3:$CE$3),LEN(TRIM(H$2)))=TRIM(H$2))*IFERROR(Summer!$E$4:$CE$100,0)),0)+IFERROR(SUMPRODUCT((ISNUMBER(SEARCH($B3,Julie!$B$4:$B$100)))*(LEFT(TRIM(Julie!$E$3:$CE$3),LEN(TRIM(H$2)))=TRIM(H$2))*IFERROR(Julie!$E$4:$CE$100,0)),0)+IFERROR(SUMPRODUCT((ISNUMBER(SEARCH($B3,Jiao!$B$4:$B$100)))*(LEFT(TRIM(Jiao!$E$3:$CE$3),LEN(TRIM(H$2)))=TRIM(H$2))*IFERROR(Jiao!$E$4:$CE$100,0)),0)</f>
      </c>
      <c r="I3" s="41">
        <f>=IFERROR(SUMPRODUCT((ISNUMBER(SEARCH($B3,KeDa!$B$4:$B$100)))*(LEFT(TRIM(KeDa!$E$3:$CE$3),LEN(TRIM(I$2)))=TRIM(I$2))*IFERROR(KeDa!$E$4:$CE$100,0)),0)+IFERROR(SUMPRODUCT((ISNUMBER(SEARCH($B3,Tank!$B$4:$B$100)))*(LEFT(TRIM(Tank!$E$3:$CE$3),LEN(TRIM(I$2)))=TRIM(I$2))*IFERROR(Tank!$E$4:$CE$100,0)),0)+IFERROR(SUMPRODUCT((ISNUMBER(SEARCH($B3,Richard!$B$4:$B$100)))*(LEFT(TRIM(Richard!$E$3:$CE$3),LEN(TRIM(I$2)))=TRIM(I$2))*IFERROR(Richard!$E$4:$CE$100,0)),0)+IFERROR(SUMPRODUCT((ISNUMBER(SEARCH($B3,Jenny!$B$4:$B$100)))*(LEFT(TRIM(Jenny!$E$3:$CE$3),LEN(TRIM(I$2)))=TRIM(I$2))*IFERROR(Jenny!$E$4:$CE$100,0)),0)+IFERROR(SUMPRODUCT((ISNUMBER(SEARCH($B3,Cooper!$B$4:$B$100)))*(LEFT(TRIM(Cooper!$E$3:$CE$3),LEN(TRIM(I$2)))=TRIM(I$2))*IFERROR(Cooper!$E$4:$CE$100,0)),0)+IFERROR(SUMPRODUCT((ISNUMBER(SEARCH($B3,Summer!$B$4:$B$100)))*(LEFT(TRIM(Summer!$E$3:$CE$3),LEN(TRIM(I$2)))=TRIM(I$2))*IFERROR(Summer!$E$4:$CE$100,0)),0)+IFERROR(SUMPRODUCT((ISNUMBER(SEARCH($B3,Julie!$B$4:$B$100)))*(LEFT(TRIM(Julie!$E$3:$CE$3),LEN(TRIM(I$2)))=TRIM(I$2))*IFERROR(Julie!$E$4:$CE$100,0)),0)+IFERROR(SUMPRODUCT((ISNUMBER(SEARCH($B3,Jiao!$B$4:$B$100)))*(LEFT(TRIM(Jiao!$E$3:$CE$3),LEN(TRIM(I$2)))=TRIM(I$2))*IFERROR(Jiao!$E$4:$CE$100,0)),0)</f>
      </c>
      <c r="J3" s="41">
        <f>=IFERROR(SUMPRODUCT((ISNUMBER(SEARCH($B3,KeDa!$B$4:$B$100)))*(LEFT(TRIM(KeDa!$E$3:$CE$3),LEN(TRIM(J$2)))=TRIM(J$2))*IFERROR(KeDa!$E$4:$CE$100,0)),0)+IFERROR(SUMPRODUCT((ISNUMBER(SEARCH($B3,Tank!$B$4:$B$100)))*(LEFT(TRIM(Tank!$E$3:$CE$3),LEN(TRIM(J$2)))=TRIM(J$2))*IFERROR(Tank!$E$4:$CE$100,0)),0)+IFERROR(SUMPRODUCT((ISNUMBER(SEARCH($B3,Richard!$B$4:$B$100)))*(LEFT(TRIM(Richard!$E$3:$CE$3),LEN(TRIM(J$2)))=TRIM(J$2))*IFERROR(Richard!$E$4:$CE$100,0)),0)+IFERROR(SUMPRODUCT((ISNUMBER(SEARCH($B3,Jenny!$B$4:$B$100)))*(LEFT(TRIM(Jenny!$E$3:$CE$3),LEN(TRIM(J$2)))=TRIM(J$2))*IFERROR(Jenny!$E$4:$CE$100,0)),0)+IFERROR(SUMPRODUCT((ISNUMBER(SEARCH($B3,Cooper!$B$4:$B$100)))*(LEFT(TRIM(Cooper!$E$3:$CE$3),LEN(TRIM(J$2)))=TRIM(J$2))*IFERROR(Cooper!$E$4:$CE$100,0)),0)+IFERROR(SUMPRODUCT((ISNUMBER(SEARCH($B3,Summer!$B$4:$B$100)))*(LEFT(TRIM(Summer!$E$3:$CE$3),LEN(TRIM(J$2)))=TRIM(J$2))*IFERROR(Summer!$E$4:$CE$100,0)),0)+IFERROR(SUMPRODUCT((ISNUMBER(SEARCH($B3,Julie!$B$4:$B$100)))*(LEFT(TRIM(Julie!$E$3:$CE$3),LEN(TRIM(J$2)))=TRIM(J$2))*IFERROR(Julie!$E$4:$CE$100,0)),0)+IFERROR(SUMPRODUCT((ISNUMBER(SEARCH($B3,Jiao!$B$4:$B$100)))*(LEFT(TRIM(Jiao!$E$3:$CE$3),LEN(TRIM(J$2)))=TRIM(J$2))*IFERROR(Jiao!$E$4:$CE$100,0)),0)</f>
      </c>
      <c r="K3" s="41">
        <f>=IFERROR(SUMPRODUCT((ISNUMBER(SEARCH($B3,KeDa!$B$4:$B$100)))*(LEFT(TRIM(KeDa!$E$3:$CE$3),LEN(TRIM(K$2)))=TRIM(K$2))*IFERROR(KeDa!$E$4:$CE$100,0)),0)+IFERROR(SUMPRODUCT((ISNUMBER(SEARCH($B3,Tank!$B$4:$B$100)))*(LEFT(TRIM(Tank!$E$3:$CE$3),LEN(TRIM(K$2)))=TRIM(K$2))*IFERROR(Tank!$E$4:$CE$100,0)),0)+IFERROR(SUMPRODUCT((ISNUMBER(SEARCH($B3,Richard!$B$4:$B$100)))*(LEFT(TRIM(Richard!$E$3:$CE$3),LEN(TRIM(K$2)))=TRIM(K$2))*IFERROR(Richard!$E$4:$CE$100,0)),0)+IFERROR(SUMPRODUCT((ISNUMBER(SEARCH($B3,Jenny!$B$4:$B$100)))*(LEFT(TRIM(Jenny!$E$3:$CE$3),LEN(TRIM(K$2)))=TRIM(K$2))*IFERROR(Jenny!$E$4:$CE$100,0)),0)+IFERROR(SUMPRODUCT((ISNUMBER(SEARCH($B3,Cooper!$B$4:$B$100)))*(LEFT(TRIM(Cooper!$E$3:$CE$3),LEN(TRIM(K$2)))=TRIM(K$2))*IFERROR(Cooper!$E$4:$CE$100,0)),0)+IFERROR(SUMPRODUCT((ISNUMBER(SEARCH($B3,Summer!$B$4:$B$100)))*(LEFT(TRIM(Summer!$E$3:$CE$3),LEN(TRIM(K$2)))=TRIM(K$2))*IFERROR(Summer!$E$4:$CE$100,0)),0)+IFERROR(SUMPRODUCT((ISNUMBER(SEARCH($B3,Julie!$B$4:$B$100)))*(LEFT(TRIM(Julie!$E$3:$CE$3),LEN(TRIM(K$2)))=TRIM(K$2))*IFERROR(Julie!$E$4:$CE$100,0)),0)+IFERROR(SUMPRODUCT((ISNUMBER(SEARCH($B3,Jiao!$B$4:$B$100)))*(LEFT(TRIM(Jiao!$E$3:$CE$3),LEN(TRIM(K$2)))=TRIM(K$2))*IFERROR(Jiao!$E$4:$CE$100,0)),0)</f>
      </c>
    </row>
    <row r="4" spans="1:11">
      <c r="A4" s="78">
        <v>2</v>
      </c>
      <c r="B4" s="24" t="s">
        <v>163</v>
      </c>
      <c r="C4" s="24" t="s">
        <v>97</v>
      </c>
      <c r="D4" s="24" t="s">
        <v>98</v>
      </c>
      <c r="E4" s="41">
        <f>=IFERROR(SUMPRODUCT((ISNUMBER(SEARCH($B4,KeDa!$B$4:$B$100)))*(LEFT(TRIM(KeDa!$E$3:$CE$3),LEN(TRIM(E$2)))=TRIM(E$2))*IFERROR(KeDa!$E$4:$CE$100,0)),0)+IFERROR(SUMPRODUCT((ISNUMBER(SEARCH($B4,Tank!$B$4:$B$100)))*(LEFT(TRIM(Tank!$E$3:$CE$3),LEN(TRIM(E$2)))=TRIM(E$2))*IFERROR(Tank!$E$4:$CE$100,0)),0)+IFERROR(SUMPRODUCT((ISNUMBER(SEARCH($B4,Richard!$B$4:$B$100)))*(LEFT(TRIM(Richard!$E$3:$CE$3),LEN(TRIM(E$2)))=TRIM(E$2))*IFERROR(Richard!$E$4:$CE$100,0)),0)+IFERROR(SUMPRODUCT((ISNUMBER(SEARCH($B4,Jenny!$B$4:$B$100)))*(LEFT(TRIM(Jenny!$E$3:$CE$3),LEN(TRIM(E$2)))=TRIM(E$2))*IFERROR(Jenny!$E$4:$CE$100,0)),0)+IFERROR(SUMPRODUCT((ISNUMBER(SEARCH($B4,Cooper!$B$4:$B$100)))*(LEFT(TRIM(Cooper!$E$3:$CE$3),LEN(TRIM(E$2)))=TRIM(E$2))*IFERROR(Cooper!$E$4:$CE$100,0)),0)+IFERROR(SUMPRODUCT((ISNUMBER(SEARCH($B4,Summer!$B$4:$B$100)))*(LEFT(TRIM(Summer!$E$3:$CE$3),LEN(TRIM(E$2)))=TRIM(E$2))*IFERROR(Summer!$E$4:$CE$100,0)),0)+IFERROR(SUMPRODUCT((ISNUMBER(SEARCH($B4,Julie!$B$4:$B$100)))*(LEFT(TRIM(Julie!$E$3:$CE$3),LEN(TRIM(E$2)))=TRIM(E$2))*IFERROR(Julie!$E$4:$CE$100,0)),0)+IFERROR(SUMPRODUCT((ISNUMBER(SEARCH($B4,Jiao!$B$4:$B$100)))*(LEFT(TRIM(Jiao!$E$3:$CE$3),LEN(TRIM(E$2)))=TRIM(E$2))*IFERROR(Jiao!$E$4:$CE$100,0)),0)</f>
      </c>
      <c r="F4" s="41">
        <f>=IFERROR(SUMPRODUCT((ISNUMBER(SEARCH($B4,KeDa!$B$4:$B$100)))*(LEFT(TRIM(KeDa!$E$3:$CE$3),LEN(TRIM(F$2)))=TRIM(F$2))*IFERROR(KeDa!$E$4:$CE$100,0)),0)+IFERROR(SUMPRODUCT((ISNUMBER(SEARCH($B4,Tank!$B$4:$B$100)))*(LEFT(TRIM(Tank!$E$3:$CE$3),LEN(TRIM(F$2)))=TRIM(F$2))*IFERROR(Tank!$E$4:$CE$100,0)),0)+IFERROR(SUMPRODUCT((ISNUMBER(SEARCH($B4,Richard!$B$4:$B$100)))*(LEFT(TRIM(Richard!$E$3:$CE$3),LEN(TRIM(F$2)))=TRIM(F$2))*IFERROR(Richard!$E$4:$CE$100,0)),0)+IFERROR(SUMPRODUCT((ISNUMBER(SEARCH($B4,Jenny!$B$4:$B$100)))*(LEFT(TRIM(Jenny!$E$3:$CE$3),LEN(TRIM(F$2)))=TRIM(F$2))*IFERROR(Jenny!$E$4:$CE$100,0)),0)+IFERROR(SUMPRODUCT((ISNUMBER(SEARCH($B4,Cooper!$B$4:$B$100)))*(LEFT(TRIM(Cooper!$E$3:$CE$3),LEN(TRIM(F$2)))=TRIM(F$2))*IFERROR(Cooper!$E$4:$CE$100,0)),0)+IFERROR(SUMPRODUCT((ISNUMBER(SEARCH($B4,Summer!$B$4:$B$100)))*(LEFT(TRIM(Summer!$E$3:$CE$3),LEN(TRIM(F$2)))=TRIM(F$2))*IFERROR(Summer!$E$4:$CE$100,0)),0)+IFERROR(SUMPRODUCT((ISNUMBER(SEARCH($B4,Julie!$B$4:$B$100)))*(LEFT(TRIM(Julie!$E$3:$CE$3),LEN(TRIM(F$2)))=TRIM(F$2))*IFERROR(Julie!$E$4:$CE$100,0)),0)+IFERROR(SUMPRODUCT((ISNUMBER(SEARCH($B4,Jiao!$B$4:$B$100)))*(LEFT(TRIM(Jiao!$E$3:$CE$3),LEN(TRIM(F$2)))=TRIM(F$2))*IFERROR(Jiao!$E$4:$CE$100,0)),0)</f>
      </c>
      <c r="G4" s="41">
        <f>=IFERROR(SUMPRODUCT((ISNUMBER(SEARCH($B4,KeDa!$B$4:$B$100)))*(LEFT(TRIM(KeDa!$E$3:$CE$3),LEN(TRIM(G$2)))=TRIM(G$2))*IFERROR(KeDa!$E$4:$CE$100,0)),0)+IFERROR(SUMPRODUCT((ISNUMBER(SEARCH($B4,Tank!$B$4:$B$100)))*(LEFT(TRIM(Tank!$E$3:$CE$3),LEN(TRIM(G$2)))=TRIM(G$2))*IFERROR(Tank!$E$4:$CE$100,0)),0)+IFERROR(SUMPRODUCT((ISNUMBER(SEARCH($B4,Richard!$B$4:$B$100)))*(LEFT(TRIM(Richard!$E$3:$CE$3),LEN(TRIM(G$2)))=TRIM(G$2))*IFERROR(Richard!$E$4:$CE$100,0)),0)+IFERROR(SUMPRODUCT((ISNUMBER(SEARCH($B4,Jenny!$B$4:$B$100)))*(LEFT(TRIM(Jenny!$E$3:$CE$3),LEN(TRIM(G$2)))=TRIM(G$2))*IFERROR(Jenny!$E$4:$CE$100,0)),0)+IFERROR(SUMPRODUCT((ISNUMBER(SEARCH($B4,Cooper!$B$4:$B$100)))*(LEFT(TRIM(Cooper!$E$3:$CE$3),LEN(TRIM(G$2)))=TRIM(G$2))*IFERROR(Cooper!$E$4:$CE$100,0)),0)+IFERROR(SUMPRODUCT((ISNUMBER(SEARCH($B4,Summer!$B$4:$B$100)))*(LEFT(TRIM(Summer!$E$3:$CE$3),LEN(TRIM(G$2)))=TRIM(G$2))*IFERROR(Summer!$E$4:$CE$100,0)),0)+IFERROR(SUMPRODUCT((ISNUMBER(SEARCH($B4,Julie!$B$4:$B$100)))*(LEFT(TRIM(Julie!$E$3:$CE$3),LEN(TRIM(G$2)))=TRIM(G$2))*IFERROR(Julie!$E$4:$CE$100,0)),0)+IFERROR(SUMPRODUCT((ISNUMBER(SEARCH($B4,Jiao!$B$4:$B$100)))*(LEFT(TRIM(Jiao!$E$3:$CE$3),LEN(TRIM(G$2)))=TRIM(G$2))*IFERROR(Jiao!$E$4:$CE$100,0)),0)</f>
      </c>
      <c r="H4" s="41">
        <f>=IFERROR(SUMPRODUCT((ISNUMBER(SEARCH($B4,KeDa!$B$4:$B$100)))*(LEFT(TRIM(KeDa!$E$3:$CE$3),LEN(TRIM(H$2)))=TRIM(H$2))*IFERROR(KeDa!$E$4:$CE$100,0)),0)+IFERROR(SUMPRODUCT((ISNUMBER(SEARCH($B4,Tank!$B$4:$B$100)))*(LEFT(TRIM(Tank!$E$3:$CE$3),LEN(TRIM(H$2)))=TRIM(H$2))*IFERROR(Tank!$E$4:$CE$100,0)),0)+IFERROR(SUMPRODUCT((ISNUMBER(SEARCH($B4,Richard!$B$4:$B$100)))*(LEFT(TRIM(Richard!$E$3:$CE$3),LEN(TRIM(H$2)))=TRIM(H$2))*IFERROR(Richard!$E$4:$CE$100,0)),0)+IFERROR(SUMPRODUCT((ISNUMBER(SEARCH($B4,Jenny!$B$4:$B$100)))*(LEFT(TRIM(Jenny!$E$3:$CE$3),LEN(TRIM(H$2)))=TRIM(H$2))*IFERROR(Jenny!$E$4:$CE$100,0)),0)+IFERROR(SUMPRODUCT((ISNUMBER(SEARCH($B4,Cooper!$B$4:$B$100)))*(LEFT(TRIM(Cooper!$E$3:$CE$3),LEN(TRIM(H$2)))=TRIM(H$2))*IFERROR(Cooper!$E$4:$CE$100,0)),0)+IFERROR(SUMPRODUCT((ISNUMBER(SEARCH($B4,Summer!$B$4:$B$100)))*(LEFT(TRIM(Summer!$E$3:$CE$3),LEN(TRIM(H$2)))=TRIM(H$2))*IFERROR(Summer!$E$4:$CE$100,0)),0)+IFERROR(SUMPRODUCT((ISNUMBER(SEARCH($B4,Julie!$B$4:$B$100)))*(LEFT(TRIM(Julie!$E$3:$CE$3),LEN(TRIM(H$2)))=TRIM(H$2))*IFERROR(Julie!$E$4:$CE$100,0)),0)+IFERROR(SUMPRODUCT((ISNUMBER(SEARCH($B4,Jiao!$B$4:$B$100)))*(LEFT(TRIM(Jiao!$E$3:$CE$3),LEN(TRIM(H$2)))=TRIM(H$2))*IFERROR(Jiao!$E$4:$CE$100,0)),0)</f>
      </c>
      <c r="I4" s="41">
        <f>=IFERROR(SUMPRODUCT((ISNUMBER(SEARCH($B4,KeDa!$B$4:$B$100)))*(LEFT(TRIM(KeDa!$E$3:$CE$3),LEN(TRIM(I$2)))=TRIM(I$2))*IFERROR(KeDa!$E$4:$CE$100,0)),0)+IFERROR(SUMPRODUCT((ISNUMBER(SEARCH($B4,Tank!$B$4:$B$100)))*(LEFT(TRIM(Tank!$E$3:$CE$3),LEN(TRIM(I$2)))=TRIM(I$2))*IFERROR(Tank!$E$4:$CE$100,0)),0)+IFERROR(SUMPRODUCT((ISNUMBER(SEARCH($B4,Richard!$B$4:$B$100)))*(LEFT(TRIM(Richard!$E$3:$CE$3),LEN(TRIM(I$2)))=TRIM(I$2))*IFERROR(Richard!$E$4:$CE$100,0)),0)+IFERROR(SUMPRODUCT((ISNUMBER(SEARCH($B4,Jenny!$B$4:$B$100)))*(LEFT(TRIM(Jenny!$E$3:$CE$3),LEN(TRIM(I$2)))=TRIM(I$2))*IFERROR(Jenny!$E$4:$CE$100,0)),0)+IFERROR(SUMPRODUCT((ISNUMBER(SEARCH($B4,Cooper!$B$4:$B$100)))*(LEFT(TRIM(Cooper!$E$3:$CE$3),LEN(TRIM(I$2)))=TRIM(I$2))*IFERROR(Cooper!$E$4:$CE$100,0)),0)+IFERROR(SUMPRODUCT((ISNUMBER(SEARCH($B4,Summer!$B$4:$B$100)))*(LEFT(TRIM(Summer!$E$3:$CE$3),LEN(TRIM(I$2)))=TRIM(I$2))*IFERROR(Summer!$E$4:$CE$100,0)),0)+IFERROR(SUMPRODUCT((ISNUMBER(SEARCH($B4,Julie!$B$4:$B$100)))*(LEFT(TRIM(Julie!$E$3:$CE$3),LEN(TRIM(I$2)))=TRIM(I$2))*IFERROR(Julie!$E$4:$CE$100,0)),0)+IFERROR(SUMPRODUCT((ISNUMBER(SEARCH($B4,Jiao!$B$4:$B$100)))*(LEFT(TRIM(Jiao!$E$3:$CE$3),LEN(TRIM(I$2)))=TRIM(I$2))*IFERROR(Jiao!$E$4:$CE$100,0)),0)</f>
      </c>
      <c r="J4" s="41">
        <f>=IFERROR(SUMPRODUCT((ISNUMBER(SEARCH($B4,KeDa!$B$4:$B$100)))*(LEFT(TRIM(KeDa!$E$3:$CE$3),LEN(TRIM(J$2)))=TRIM(J$2))*IFERROR(KeDa!$E$4:$CE$100,0)),0)+IFERROR(SUMPRODUCT((ISNUMBER(SEARCH($B4,Tank!$B$4:$B$100)))*(LEFT(TRIM(Tank!$E$3:$CE$3),LEN(TRIM(J$2)))=TRIM(J$2))*IFERROR(Tank!$E$4:$CE$100,0)),0)+IFERROR(SUMPRODUCT((ISNUMBER(SEARCH($B4,Richard!$B$4:$B$100)))*(LEFT(TRIM(Richard!$E$3:$CE$3),LEN(TRIM(J$2)))=TRIM(J$2))*IFERROR(Richard!$E$4:$CE$100,0)),0)+IFERROR(SUMPRODUCT((ISNUMBER(SEARCH($B4,Jenny!$B$4:$B$100)))*(LEFT(TRIM(Jenny!$E$3:$CE$3),LEN(TRIM(J$2)))=TRIM(J$2))*IFERROR(Jenny!$E$4:$CE$100,0)),0)+IFERROR(SUMPRODUCT((ISNUMBER(SEARCH($B4,Cooper!$B$4:$B$100)))*(LEFT(TRIM(Cooper!$E$3:$CE$3),LEN(TRIM(J$2)))=TRIM(J$2))*IFERROR(Cooper!$E$4:$CE$100,0)),0)+IFERROR(SUMPRODUCT((ISNUMBER(SEARCH($B4,Summer!$B$4:$B$100)))*(LEFT(TRIM(Summer!$E$3:$CE$3),LEN(TRIM(J$2)))=TRIM(J$2))*IFERROR(Summer!$E$4:$CE$100,0)),0)+IFERROR(SUMPRODUCT((ISNUMBER(SEARCH($B4,Julie!$B$4:$B$100)))*(LEFT(TRIM(Julie!$E$3:$CE$3),LEN(TRIM(J$2)))=TRIM(J$2))*IFERROR(Julie!$E$4:$CE$100,0)),0)+IFERROR(SUMPRODUCT((ISNUMBER(SEARCH($B4,Jiao!$B$4:$B$100)))*(LEFT(TRIM(Jiao!$E$3:$CE$3),LEN(TRIM(J$2)))=TRIM(J$2))*IFERROR(Jiao!$E$4:$CE$100,0)),0)</f>
      </c>
      <c r="K4" s="41">
        <f>=IFERROR(SUMPRODUCT((ISNUMBER(SEARCH($B4,KeDa!$B$4:$B$100)))*(LEFT(TRIM(KeDa!$E$3:$CE$3),LEN(TRIM(K$2)))=TRIM(K$2))*IFERROR(KeDa!$E$4:$CE$100,0)),0)+IFERROR(SUMPRODUCT((ISNUMBER(SEARCH($B4,Tank!$B$4:$B$100)))*(LEFT(TRIM(Tank!$E$3:$CE$3),LEN(TRIM(K$2)))=TRIM(K$2))*IFERROR(Tank!$E$4:$CE$100,0)),0)+IFERROR(SUMPRODUCT((ISNUMBER(SEARCH($B4,Richard!$B$4:$B$100)))*(LEFT(TRIM(Richard!$E$3:$CE$3),LEN(TRIM(K$2)))=TRIM(K$2))*IFERROR(Richard!$E$4:$CE$100,0)),0)+IFERROR(SUMPRODUCT((ISNUMBER(SEARCH($B4,Jenny!$B$4:$B$100)))*(LEFT(TRIM(Jenny!$E$3:$CE$3),LEN(TRIM(K$2)))=TRIM(K$2))*IFERROR(Jenny!$E$4:$CE$100,0)),0)+IFERROR(SUMPRODUCT((ISNUMBER(SEARCH($B4,Cooper!$B$4:$B$100)))*(LEFT(TRIM(Cooper!$E$3:$CE$3),LEN(TRIM(K$2)))=TRIM(K$2))*IFERROR(Cooper!$E$4:$CE$100,0)),0)+IFERROR(SUMPRODUCT((ISNUMBER(SEARCH($B4,Summer!$B$4:$B$100)))*(LEFT(TRIM(Summer!$E$3:$CE$3),LEN(TRIM(K$2)))=TRIM(K$2))*IFERROR(Summer!$E$4:$CE$100,0)),0)+IFERROR(SUMPRODUCT((ISNUMBER(SEARCH($B4,Julie!$B$4:$B$100)))*(LEFT(TRIM(Julie!$E$3:$CE$3),LEN(TRIM(K$2)))=TRIM(K$2))*IFERROR(Julie!$E$4:$CE$100,0)),0)+IFERROR(SUMPRODUCT((ISNUMBER(SEARCH($B4,Jiao!$B$4:$B$100)))*(LEFT(TRIM(Jiao!$E$3:$CE$3),LEN(TRIM(K$2)))=TRIM(K$2))*IFERROR(Jiao!$E$4:$CE$100,0)),0)</f>
      </c>
    </row>
    <row r="5" spans="1:11">
      <c r="A5" s="78">
        <v>3</v>
      </c>
      <c r="B5" s="24" t="s">
        <v>164</v>
      </c>
      <c r="C5" s="24" t="s">
        <v>99</v>
      </c>
      <c r="D5" s="24" t="s">
        <v>98</v>
      </c>
      <c r="E5" s="41">
        <f>=IFERROR(SUMPRODUCT((ISNUMBER(SEARCH($B5,KeDa!$B$4:$B$100)))*(LEFT(TRIM(KeDa!$E$3:$CE$3),LEN(TRIM(E$2)))=TRIM(E$2))*IFERROR(KeDa!$E$4:$CE$100,0)),0)+IFERROR(SUMPRODUCT((ISNUMBER(SEARCH($B5,Tank!$B$4:$B$100)))*(LEFT(TRIM(Tank!$E$3:$CE$3),LEN(TRIM(E$2)))=TRIM(E$2))*IFERROR(Tank!$E$4:$CE$100,0)),0)+IFERROR(SUMPRODUCT((ISNUMBER(SEARCH($B5,Richard!$B$4:$B$100)))*(LEFT(TRIM(Richard!$E$3:$CE$3),LEN(TRIM(E$2)))=TRIM(E$2))*IFERROR(Richard!$E$4:$CE$100,0)),0)+IFERROR(SUMPRODUCT((ISNUMBER(SEARCH($B5,Jenny!$B$4:$B$100)))*(LEFT(TRIM(Jenny!$E$3:$CE$3),LEN(TRIM(E$2)))=TRIM(E$2))*IFERROR(Jenny!$E$4:$CE$100,0)),0)+IFERROR(SUMPRODUCT((ISNUMBER(SEARCH($B5,Cooper!$B$4:$B$100)))*(LEFT(TRIM(Cooper!$E$3:$CE$3),LEN(TRIM(E$2)))=TRIM(E$2))*IFERROR(Cooper!$E$4:$CE$100,0)),0)+IFERROR(SUMPRODUCT((ISNUMBER(SEARCH($B5,Summer!$B$4:$B$100)))*(LEFT(TRIM(Summer!$E$3:$CE$3),LEN(TRIM(E$2)))=TRIM(E$2))*IFERROR(Summer!$E$4:$CE$100,0)),0)+IFERROR(SUMPRODUCT((ISNUMBER(SEARCH($B5,Julie!$B$4:$B$100)))*(LEFT(TRIM(Julie!$E$3:$CE$3),LEN(TRIM(E$2)))=TRIM(E$2))*IFERROR(Julie!$E$4:$CE$100,0)),0)+IFERROR(SUMPRODUCT((ISNUMBER(SEARCH($B5,Jiao!$B$4:$B$100)))*(LEFT(TRIM(Jiao!$E$3:$CE$3),LEN(TRIM(E$2)))=TRIM(E$2))*IFERROR(Jiao!$E$4:$CE$100,0)),0)</f>
      </c>
      <c r="F5" s="41">
        <f>=IFERROR(SUMPRODUCT((ISNUMBER(SEARCH($B5,KeDa!$B$4:$B$100)))*(LEFT(TRIM(KeDa!$E$3:$CE$3),LEN(TRIM(F$2)))=TRIM(F$2))*IFERROR(KeDa!$E$4:$CE$100,0)),0)+IFERROR(SUMPRODUCT((ISNUMBER(SEARCH($B5,Tank!$B$4:$B$100)))*(LEFT(TRIM(Tank!$E$3:$CE$3),LEN(TRIM(F$2)))=TRIM(F$2))*IFERROR(Tank!$E$4:$CE$100,0)),0)+IFERROR(SUMPRODUCT((ISNUMBER(SEARCH($B5,Richard!$B$4:$B$100)))*(LEFT(TRIM(Richard!$E$3:$CE$3),LEN(TRIM(F$2)))=TRIM(F$2))*IFERROR(Richard!$E$4:$CE$100,0)),0)+IFERROR(SUMPRODUCT((ISNUMBER(SEARCH($B5,Jenny!$B$4:$B$100)))*(LEFT(TRIM(Jenny!$E$3:$CE$3),LEN(TRIM(F$2)))=TRIM(F$2))*IFERROR(Jenny!$E$4:$CE$100,0)),0)+IFERROR(SUMPRODUCT((ISNUMBER(SEARCH($B5,Cooper!$B$4:$B$100)))*(LEFT(TRIM(Cooper!$E$3:$CE$3),LEN(TRIM(F$2)))=TRIM(F$2))*IFERROR(Cooper!$E$4:$CE$100,0)),0)+IFERROR(SUMPRODUCT((ISNUMBER(SEARCH($B5,Summer!$B$4:$B$100)))*(LEFT(TRIM(Summer!$E$3:$CE$3),LEN(TRIM(F$2)))=TRIM(F$2))*IFERROR(Summer!$E$4:$CE$100,0)),0)+IFERROR(SUMPRODUCT((ISNUMBER(SEARCH($B5,Julie!$B$4:$B$100)))*(LEFT(TRIM(Julie!$E$3:$CE$3),LEN(TRIM(F$2)))=TRIM(F$2))*IFERROR(Julie!$E$4:$CE$100,0)),0)+IFERROR(SUMPRODUCT((ISNUMBER(SEARCH($B5,Jiao!$B$4:$B$100)))*(LEFT(TRIM(Jiao!$E$3:$CE$3),LEN(TRIM(F$2)))=TRIM(F$2))*IFERROR(Jiao!$E$4:$CE$100,0)),0)</f>
      </c>
      <c r="G5" s="41">
        <f>=IFERROR(SUMPRODUCT((ISNUMBER(SEARCH($B5,KeDa!$B$4:$B$100)))*(LEFT(TRIM(KeDa!$E$3:$CE$3),LEN(TRIM(G$2)))=TRIM(G$2))*IFERROR(KeDa!$E$4:$CE$100,0)),0)+IFERROR(SUMPRODUCT((ISNUMBER(SEARCH($B5,Tank!$B$4:$B$100)))*(LEFT(TRIM(Tank!$E$3:$CE$3),LEN(TRIM(G$2)))=TRIM(G$2))*IFERROR(Tank!$E$4:$CE$100,0)),0)+IFERROR(SUMPRODUCT((ISNUMBER(SEARCH($B5,Richard!$B$4:$B$100)))*(LEFT(TRIM(Richard!$E$3:$CE$3),LEN(TRIM(G$2)))=TRIM(G$2))*IFERROR(Richard!$E$4:$CE$100,0)),0)+IFERROR(SUMPRODUCT((ISNUMBER(SEARCH($B5,Jenny!$B$4:$B$100)))*(LEFT(TRIM(Jenny!$E$3:$CE$3),LEN(TRIM(G$2)))=TRIM(G$2))*IFERROR(Jenny!$E$4:$CE$100,0)),0)+IFERROR(SUMPRODUCT((ISNUMBER(SEARCH($B5,Cooper!$B$4:$B$100)))*(LEFT(TRIM(Cooper!$E$3:$CE$3),LEN(TRIM(G$2)))=TRIM(G$2))*IFERROR(Cooper!$E$4:$CE$100,0)),0)+IFERROR(SUMPRODUCT((ISNUMBER(SEARCH($B5,Summer!$B$4:$B$100)))*(LEFT(TRIM(Summer!$E$3:$CE$3),LEN(TRIM(G$2)))=TRIM(G$2))*IFERROR(Summer!$E$4:$CE$100,0)),0)+IFERROR(SUMPRODUCT((ISNUMBER(SEARCH($B5,Julie!$B$4:$B$100)))*(LEFT(TRIM(Julie!$E$3:$CE$3),LEN(TRIM(G$2)))=TRIM(G$2))*IFERROR(Julie!$E$4:$CE$100,0)),0)+IFERROR(SUMPRODUCT((ISNUMBER(SEARCH($B5,Jiao!$B$4:$B$100)))*(LEFT(TRIM(Jiao!$E$3:$CE$3),LEN(TRIM(G$2)))=TRIM(G$2))*IFERROR(Jiao!$E$4:$CE$100,0)),0)</f>
      </c>
      <c r="H5" s="41">
        <f>=IFERROR(SUMPRODUCT((ISNUMBER(SEARCH($B5,KeDa!$B$4:$B$100)))*(LEFT(TRIM(KeDa!$E$3:$CE$3),LEN(TRIM(H$2)))=TRIM(H$2))*IFERROR(KeDa!$E$4:$CE$100,0)),0)+IFERROR(SUMPRODUCT((ISNUMBER(SEARCH($B5,Tank!$B$4:$B$100)))*(LEFT(TRIM(Tank!$E$3:$CE$3),LEN(TRIM(H$2)))=TRIM(H$2))*IFERROR(Tank!$E$4:$CE$100,0)),0)+IFERROR(SUMPRODUCT((ISNUMBER(SEARCH($B5,Richard!$B$4:$B$100)))*(LEFT(TRIM(Richard!$E$3:$CE$3),LEN(TRIM(H$2)))=TRIM(H$2))*IFERROR(Richard!$E$4:$CE$100,0)),0)+IFERROR(SUMPRODUCT((ISNUMBER(SEARCH($B5,Jenny!$B$4:$B$100)))*(LEFT(TRIM(Jenny!$E$3:$CE$3),LEN(TRIM(H$2)))=TRIM(H$2))*IFERROR(Jenny!$E$4:$CE$100,0)),0)+IFERROR(SUMPRODUCT((ISNUMBER(SEARCH($B5,Cooper!$B$4:$B$100)))*(LEFT(TRIM(Cooper!$E$3:$CE$3),LEN(TRIM(H$2)))=TRIM(H$2))*IFERROR(Cooper!$E$4:$CE$100,0)),0)+IFERROR(SUMPRODUCT((ISNUMBER(SEARCH($B5,Summer!$B$4:$B$100)))*(LEFT(TRIM(Summer!$E$3:$CE$3),LEN(TRIM(H$2)))=TRIM(H$2))*IFERROR(Summer!$E$4:$CE$100,0)),0)+IFERROR(SUMPRODUCT((ISNUMBER(SEARCH($B5,Julie!$B$4:$B$100)))*(LEFT(TRIM(Julie!$E$3:$CE$3),LEN(TRIM(H$2)))=TRIM(H$2))*IFERROR(Julie!$E$4:$CE$100,0)),0)+IFERROR(SUMPRODUCT((ISNUMBER(SEARCH($B5,Jiao!$B$4:$B$100)))*(LEFT(TRIM(Jiao!$E$3:$CE$3),LEN(TRIM(H$2)))=TRIM(H$2))*IFERROR(Jiao!$E$4:$CE$100,0)),0)</f>
      </c>
      <c r="I5" s="41">
        <f>=IFERROR(SUMPRODUCT((ISNUMBER(SEARCH($B5,KeDa!$B$4:$B$100)))*(LEFT(TRIM(KeDa!$E$3:$CE$3),LEN(TRIM(I$2)))=TRIM(I$2))*IFERROR(KeDa!$E$4:$CE$100,0)),0)+IFERROR(SUMPRODUCT((ISNUMBER(SEARCH($B5,Tank!$B$4:$B$100)))*(LEFT(TRIM(Tank!$E$3:$CE$3),LEN(TRIM(I$2)))=TRIM(I$2))*IFERROR(Tank!$E$4:$CE$100,0)),0)+IFERROR(SUMPRODUCT((ISNUMBER(SEARCH($B5,Richard!$B$4:$B$100)))*(LEFT(TRIM(Richard!$E$3:$CE$3),LEN(TRIM(I$2)))=TRIM(I$2))*IFERROR(Richard!$E$4:$CE$100,0)),0)+IFERROR(SUMPRODUCT((ISNUMBER(SEARCH($B5,Jenny!$B$4:$B$100)))*(LEFT(TRIM(Jenny!$E$3:$CE$3),LEN(TRIM(I$2)))=TRIM(I$2))*IFERROR(Jenny!$E$4:$CE$100,0)),0)+IFERROR(SUMPRODUCT((ISNUMBER(SEARCH($B5,Cooper!$B$4:$B$100)))*(LEFT(TRIM(Cooper!$E$3:$CE$3),LEN(TRIM(I$2)))=TRIM(I$2))*IFERROR(Cooper!$E$4:$CE$100,0)),0)+IFERROR(SUMPRODUCT((ISNUMBER(SEARCH($B5,Summer!$B$4:$B$100)))*(LEFT(TRIM(Summer!$E$3:$CE$3),LEN(TRIM(I$2)))=TRIM(I$2))*IFERROR(Summer!$E$4:$CE$100,0)),0)+IFERROR(SUMPRODUCT((ISNUMBER(SEARCH($B5,Julie!$B$4:$B$100)))*(LEFT(TRIM(Julie!$E$3:$CE$3),LEN(TRIM(I$2)))=TRIM(I$2))*IFERROR(Julie!$E$4:$CE$100,0)),0)+IFERROR(SUMPRODUCT((ISNUMBER(SEARCH($B5,Jiao!$B$4:$B$100)))*(LEFT(TRIM(Jiao!$E$3:$CE$3),LEN(TRIM(I$2)))=TRIM(I$2))*IFERROR(Jiao!$E$4:$CE$100,0)),0)</f>
      </c>
      <c r="J5" s="41">
        <f>=IFERROR(SUMPRODUCT((ISNUMBER(SEARCH($B5,KeDa!$B$4:$B$100)))*(LEFT(TRIM(KeDa!$E$3:$CE$3),LEN(TRIM(J$2)))=TRIM(J$2))*IFERROR(KeDa!$E$4:$CE$100,0)),0)+IFERROR(SUMPRODUCT((ISNUMBER(SEARCH($B5,Tank!$B$4:$B$100)))*(LEFT(TRIM(Tank!$E$3:$CE$3),LEN(TRIM(J$2)))=TRIM(J$2))*IFERROR(Tank!$E$4:$CE$100,0)),0)+IFERROR(SUMPRODUCT((ISNUMBER(SEARCH($B5,Richard!$B$4:$B$100)))*(LEFT(TRIM(Richard!$E$3:$CE$3),LEN(TRIM(J$2)))=TRIM(J$2))*IFERROR(Richard!$E$4:$CE$100,0)),0)+IFERROR(SUMPRODUCT((ISNUMBER(SEARCH($B5,Jenny!$B$4:$B$100)))*(LEFT(TRIM(Jenny!$E$3:$CE$3),LEN(TRIM(J$2)))=TRIM(J$2))*IFERROR(Jenny!$E$4:$CE$100,0)),0)+IFERROR(SUMPRODUCT((ISNUMBER(SEARCH($B5,Cooper!$B$4:$B$100)))*(LEFT(TRIM(Cooper!$E$3:$CE$3),LEN(TRIM(J$2)))=TRIM(J$2))*IFERROR(Cooper!$E$4:$CE$100,0)),0)+IFERROR(SUMPRODUCT((ISNUMBER(SEARCH($B5,Summer!$B$4:$B$100)))*(LEFT(TRIM(Summer!$E$3:$CE$3),LEN(TRIM(J$2)))=TRIM(J$2))*IFERROR(Summer!$E$4:$CE$100,0)),0)+IFERROR(SUMPRODUCT((ISNUMBER(SEARCH($B5,Julie!$B$4:$B$100)))*(LEFT(TRIM(Julie!$E$3:$CE$3),LEN(TRIM(J$2)))=TRIM(J$2))*IFERROR(Julie!$E$4:$CE$100,0)),0)+IFERROR(SUMPRODUCT((ISNUMBER(SEARCH($B5,Jiao!$B$4:$B$100)))*(LEFT(TRIM(Jiao!$E$3:$CE$3),LEN(TRIM(J$2)))=TRIM(J$2))*IFERROR(Jiao!$E$4:$CE$100,0)),0)</f>
      </c>
      <c r="K5" s="41">
        <f>=IFERROR(SUMPRODUCT((ISNUMBER(SEARCH($B5,KeDa!$B$4:$B$100)))*(LEFT(TRIM(KeDa!$E$3:$CE$3),LEN(TRIM(K$2)))=TRIM(K$2))*IFERROR(KeDa!$E$4:$CE$100,0)),0)+IFERROR(SUMPRODUCT((ISNUMBER(SEARCH($B5,Tank!$B$4:$B$100)))*(LEFT(TRIM(Tank!$E$3:$CE$3),LEN(TRIM(K$2)))=TRIM(K$2))*IFERROR(Tank!$E$4:$CE$100,0)),0)+IFERROR(SUMPRODUCT((ISNUMBER(SEARCH($B5,Richard!$B$4:$B$100)))*(LEFT(TRIM(Richard!$E$3:$CE$3),LEN(TRIM(K$2)))=TRIM(K$2))*IFERROR(Richard!$E$4:$CE$100,0)),0)+IFERROR(SUMPRODUCT((ISNUMBER(SEARCH($B5,Jenny!$B$4:$B$100)))*(LEFT(TRIM(Jenny!$E$3:$CE$3),LEN(TRIM(K$2)))=TRIM(K$2))*IFERROR(Jenny!$E$4:$CE$100,0)),0)+IFERROR(SUMPRODUCT((ISNUMBER(SEARCH($B5,Cooper!$B$4:$B$100)))*(LEFT(TRIM(Cooper!$E$3:$CE$3),LEN(TRIM(K$2)))=TRIM(K$2))*IFERROR(Cooper!$E$4:$CE$100,0)),0)+IFERROR(SUMPRODUCT((ISNUMBER(SEARCH($B5,Summer!$B$4:$B$100)))*(LEFT(TRIM(Summer!$E$3:$CE$3),LEN(TRIM(K$2)))=TRIM(K$2))*IFERROR(Summer!$E$4:$CE$100,0)),0)+IFERROR(SUMPRODUCT((ISNUMBER(SEARCH($B5,Julie!$B$4:$B$100)))*(LEFT(TRIM(Julie!$E$3:$CE$3),LEN(TRIM(K$2)))=TRIM(K$2))*IFERROR(Julie!$E$4:$CE$100,0)),0)+IFERROR(SUMPRODUCT((ISNUMBER(SEARCH($B5,Jiao!$B$4:$B$100)))*(LEFT(TRIM(Jiao!$E$3:$CE$3),LEN(TRIM(K$2)))=TRIM(K$2))*IFERROR(Jiao!$E$4:$CE$100,0)),0)</f>
      </c>
    </row>
    <row r="6" spans="1:11">
      <c r="A6" s="78">
        <v>4</v>
      </c>
      <c r="B6" s="24" t="s">
        <v>172</v>
      </c>
      <c r="C6" s="24" t="s">
        <v>104</v>
      </c>
      <c r="D6" s="24" t="s">
        <v>98</v>
      </c>
      <c r="E6" s="41">
        <f>=IFERROR(SUMPRODUCT((ISNUMBER(SEARCH($B6,KeDa!$B$4:$B$100)))*(LEFT(TRIM(KeDa!$E$3:$CE$3),LEN(TRIM(E$2)))=TRIM(E$2))*IFERROR(KeDa!$E$4:$CE$100,0)),0)+IFERROR(SUMPRODUCT((ISNUMBER(SEARCH($B6,Tank!$B$4:$B$100)))*(LEFT(TRIM(Tank!$E$3:$CE$3),LEN(TRIM(E$2)))=TRIM(E$2))*IFERROR(Tank!$E$4:$CE$100,0)),0)+IFERROR(SUMPRODUCT((ISNUMBER(SEARCH($B6,Richard!$B$4:$B$100)))*(LEFT(TRIM(Richard!$E$3:$CE$3),LEN(TRIM(E$2)))=TRIM(E$2))*IFERROR(Richard!$E$4:$CE$100,0)),0)+IFERROR(SUMPRODUCT((ISNUMBER(SEARCH($B6,Jenny!$B$4:$B$100)))*(LEFT(TRIM(Jenny!$E$3:$CE$3),LEN(TRIM(E$2)))=TRIM(E$2))*IFERROR(Jenny!$E$4:$CE$100,0)),0)+IFERROR(SUMPRODUCT((ISNUMBER(SEARCH($B6,Cooper!$B$4:$B$100)))*(LEFT(TRIM(Cooper!$E$3:$CE$3),LEN(TRIM(E$2)))=TRIM(E$2))*IFERROR(Cooper!$E$4:$CE$100,0)),0)+IFERROR(SUMPRODUCT((ISNUMBER(SEARCH($B6,Summer!$B$4:$B$100)))*(LEFT(TRIM(Summer!$E$3:$CE$3),LEN(TRIM(E$2)))=TRIM(E$2))*IFERROR(Summer!$E$4:$CE$100,0)),0)+IFERROR(SUMPRODUCT((ISNUMBER(SEARCH($B6,Julie!$B$4:$B$100)))*(LEFT(TRIM(Julie!$E$3:$CE$3),LEN(TRIM(E$2)))=TRIM(E$2))*IFERROR(Julie!$E$4:$CE$100,0)),0)+IFERROR(SUMPRODUCT((ISNUMBER(SEARCH($B6,Jiao!$B$4:$B$100)))*(LEFT(TRIM(Jiao!$E$3:$CE$3),LEN(TRIM(E$2)))=TRIM(E$2))*IFERROR(Jiao!$E$4:$CE$100,0)),0)</f>
      </c>
      <c r="F6" s="41">
        <f>=IFERROR(SUMPRODUCT((ISNUMBER(SEARCH($B6,KeDa!$B$4:$B$100)))*(LEFT(TRIM(KeDa!$E$3:$CE$3),LEN(TRIM(F$2)))=TRIM(F$2))*IFERROR(KeDa!$E$4:$CE$100,0)),0)+IFERROR(SUMPRODUCT((ISNUMBER(SEARCH($B6,Tank!$B$4:$B$100)))*(LEFT(TRIM(Tank!$E$3:$CE$3),LEN(TRIM(F$2)))=TRIM(F$2))*IFERROR(Tank!$E$4:$CE$100,0)),0)+IFERROR(SUMPRODUCT((ISNUMBER(SEARCH($B6,Richard!$B$4:$B$100)))*(LEFT(TRIM(Richard!$E$3:$CE$3),LEN(TRIM(F$2)))=TRIM(F$2))*IFERROR(Richard!$E$4:$CE$100,0)),0)+IFERROR(SUMPRODUCT((ISNUMBER(SEARCH($B6,Jenny!$B$4:$B$100)))*(LEFT(TRIM(Jenny!$E$3:$CE$3),LEN(TRIM(F$2)))=TRIM(F$2))*IFERROR(Jenny!$E$4:$CE$100,0)),0)+IFERROR(SUMPRODUCT((ISNUMBER(SEARCH($B6,Cooper!$B$4:$B$100)))*(LEFT(TRIM(Cooper!$E$3:$CE$3),LEN(TRIM(F$2)))=TRIM(F$2))*IFERROR(Cooper!$E$4:$CE$100,0)),0)+IFERROR(SUMPRODUCT((ISNUMBER(SEARCH($B6,Summer!$B$4:$B$100)))*(LEFT(TRIM(Summer!$E$3:$CE$3),LEN(TRIM(F$2)))=TRIM(F$2))*IFERROR(Summer!$E$4:$CE$100,0)),0)+IFERROR(SUMPRODUCT((ISNUMBER(SEARCH($B6,Julie!$B$4:$B$100)))*(LEFT(TRIM(Julie!$E$3:$CE$3),LEN(TRIM(F$2)))=TRIM(F$2))*IFERROR(Julie!$E$4:$CE$100,0)),0)+IFERROR(SUMPRODUCT((ISNUMBER(SEARCH($B6,Jiao!$B$4:$B$100)))*(LEFT(TRIM(Jiao!$E$3:$CE$3),LEN(TRIM(F$2)))=TRIM(F$2))*IFERROR(Jiao!$E$4:$CE$100,0)),0)</f>
      </c>
      <c r="G6" s="41">
        <f>=IFERROR(SUMPRODUCT((ISNUMBER(SEARCH($B6,KeDa!$B$4:$B$100)))*(LEFT(TRIM(KeDa!$E$3:$CE$3),LEN(TRIM(G$2)))=TRIM(G$2))*IFERROR(KeDa!$E$4:$CE$100,0)),0)+IFERROR(SUMPRODUCT((ISNUMBER(SEARCH($B6,Tank!$B$4:$B$100)))*(LEFT(TRIM(Tank!$E$3:$CE$3),LEN(TRIM(G$2)))=TRIM(G$2))*IFERROR(Tank!$E$4:$CE$100,0)),0)+IFERROR(SUMPRODUCT((ISNUMBER(SEARCH($B6,Richard!$B$4:$B$100)))*(LEFT(TRIM(Richard!$E$3:$CE$3),LEN(TRIM(G$2)))=TRIM(G$2))*IFERROR(Richard!$E$4:$CE$100,0)),0)+IFERROR(SUMPRODUCT((ISNUMBER(SEARCH($B6,Jenny!$B$4:$B$100)))*(LEFT(TRIM(Jenny!$E$3:$CE$3),LEN(TRIM(G$2)))=TRIM(G$2))*IFERROR(Jenny!$E$4:$CE$100,0)),0)+IFERROR(SUMPRODUCT((ISNUMBER(SEARCH($B6,Cooper!$B$4:$B$100)))*(LEFT(TRIM(Cooper!$E$3:$CE$3),LEN(TRIM(G$2)))=TRIM(G$2))*IFERROR(Cooper!$E$4:$CE$100,0)),0)+IFERROR(SUMPRODUCT((ISNUMBER(SEARCH($B6,Summer!$B$4:$B$100)))*(LEFT(TRIM(Summer!$E$3:$CE$3),LEN(TRIM(G$2)))=TRIM(G$2))*IFERROR(Summer!$E$4:$CE$100,0)),0)+IFERROR(SUMPRODUCT((ISNUMBER(SEARCH($B6,Julie!$B$4:$B$100)))*(LEFT(TRIM(Julie!$E$3:$CE$3),LEN(TRIM(G$2)))=TRIM(G$2))*IFERROR(Julie!$E$4:$CE$100,0)),0)+IFERROR(SUMPRODUCT((ISNUMBER(SEARCH($B6,Jiao!$B$4:$B$100)))*(LEFT(TRIM(Jiao!$E$3:$CE$3),LEN(TRIM(G$2)))=TRIM(G$2))*IFERROR(Jiao!$E$4:$CE$100,0)),0)</f>
      </c>
      <c r="H6" s="41">
        <f>=IFERROR(SUMPRODUCT((ISNUMBER(SEARCH($B6,KeDa!$B$4:$B$100)))*(LEFT(TRIM(KeDa!$E$3:$CE$3),LEN(TRIM(H$2)))=TRIM(H$2))*IFERROR(KeDa!$E$4:$CE$100,0)),0)+IFERROR(SUMPRODUCT((ISNUMBER(SEARCH($B6,Tank!$B$4:$B$100)))*(LEFT(TRIM(Tank!$E$3:$CE$3),LEN(TRIM(H$2)))=TRIM(H$2))*IFERROR(Tank!$E$4:$CE$100,0)),0)+IFERROR(SUMPRODUCT((ISNUMBER(SEARCH($B6,Richard!$B$4:$B$100)))*(LEFT(TRIM(Richard!$E$3:$CE$3),LEN(TRIM(H$2)))=TRIM(H$2))*IFERROR(Richard!$E$4:$CE$100,0)),0)+IFERROR(SUMPRODUCT((ISNUMBER(SEARCH($B6,Jenny!$B$4:$B$100)))*(LEFT(TRIM(Jenny!$E$3:$CE$3),LEN(TRIM(H$2)))=TRIM(H$2))*IFERROR(Jenny!$E$4:$CE$100,0)),0)+IFERROR(SUMPRODUCT((ISNUMBER(SEARCH($B6,Cooper!$B$4:$B$100)))*(LEFT(TRIM(Cooper!$E$3:$CE$3),LEN(TRIM(H$2)))=TRIM(H$2))*IFERROR(Cooper!$E$4:$CE$100,0)),0)+IFERROR(SUMPRODUCT((ISNUMBER(SEARCH($B6,Summer!$B$4:$B$100)))*(LEFT(TRIM(Summer!$E$3:$CE$3),LEN(TRIM(H$2)))=TRIM(H$2))*IFERROR(Summer!$E$4:$CE$100,0)),0)+IFERROR(SUMPRODUCT((ISNUMBER(SEARCH($B6,Julie!$B$4:$B$100)))*(LEFT(TRIM(Julie!$E$3:$CE$3),LEN(TRIM(H$2)))=TRIM(H$2))*IFERROR(Julie!$E$4:$CE$100,0)),0)+IFERROR(SUMPRODUCT((ISNUMBER(SEARCH($B6,Jiao!$B$4:$B$100)))*(LEFT(TRIM(Jiao!$E$3:$CE$3),LEN(TRIM(H$2)))=TRIM(H$2))*IFERROR(Jiao!$E$4:$CE$100,0)),0)</f>
      </c>
      <c r="I6" s="41">
        <f>=IFERROR(SUMPRODUCT((ISNUMBER(SEARCH($B6,KeDa!$B$4:$B$100)))*(LEFT(TRIM(KeDa!$E$3:$CE$3),LEN(TRIM(I$2)))=TRIM(I$2))*IFERROR(KeDa!$E$4:$CE$100,0)),0)+IFERROR(SUMPRODUCT((ISNUMBER(SEARCH($B6,Tank!$B$4:$B$100)))*(LEFT(TRIM(Tank!$E$3:$CE$3),LEN(TRIM(I$2)))=TRIM(I$2))*IFERROR(Tank!$E$4:$CE$100,0)),0)+IFERROR(SUMPRODUCT((ISNUMBER(SEARCH($B6,Richard!$B$4:$B$100)))*(LEFT(TRIM(Richard!$E$3:$CE$3),LEN(TRIM(I$2)))=TRIM(I$2))*IFERROR(Richard!$E$4:$CE$100,0)),0)+IFERROR(SUMPRODUCT((ISNUMBER(SEARCH($B6,Jenny!$B$4:$B$100)))*(LEFT(TRIM(Jenny!$E$3:$CE$3),LEN(TRIM(I$2)))=TRIM(I$2))*IFERROR(Jenny!$E$4:$CE$100,0)),0)+IFERROR(SUMPRODUCT((ISNUMBER(SEARCH($B6,Cooper!$B$4:$B$100)))*(LEFT(TRIM(Cooper!$E$3:$CE$3),LEN(TRIM(I$2)))=TRIM(I$2))*IFERROR(Cooper!$E$4:$CE$100,0)),0)+IFERROR(SUMPRODUCT((ISNUMBER(SEARCH($B6,Summer!$B$4:$B$100)))*(LEFT(TRIM(Summer!$E$3:$CE$3),LEN(TRIM(I$2)))=TRIM(I$2))*IFERROR(Summer!$E$4:$CE$100,0)),0)+IFERROR(SUMPRODUCT((ISNUMBER(SEARCH($B6,Julie!$B$4:$B$100)))*(LEFT(TRIM(Julie!$E$3:$CE$3),LEN(TRIM(I$2)))=TRIM(I$2))*IFERROR(Julie!$E$4:$CE$100,0)),0)+IFERROR(SUMPRODUCT((ISNUMBER(SEARCH($B6,Jiao!$B$4:$B$100)))*(LEFT(TRIM(Jiao!$E$3:$CE$3),LEN(TRIM(I$2)))=TRIM(I$2))*IFERROR(Jiao!$E$4:$CE$100,0)),0)</f>
      </c>
      <c r="J6" s="41">
        <f>=IFERROR(SUMPRODUCT((ISNUMBER(SEARCH($B6,KeDa!$B$4:$B$100)))*(LEFT(TRIM(KeDa!$E$3:$CE$3),LEN(TRIM(J$2)))=TRIM(J$2))*IFERROR(KeDa!$E$4:$CE$100,0)),0)+IFERROR(SUMPRODUCT((ISNUMBER(SEARCH($B6,Tank!$B$4:$B$100)))*(LEFT(TRIM(Tank!$E$3:$CE$3),LEN(TRIM(J$2)))=TRIM(J$2))*IFERROR(Tank!$E$4:$CE$100,0)),0)+IFERROR(SUMPRODUCT((ISNUMBER(SEARCH($B6,Richard!$B$4:$B$100)))*(LEFT(TRIM(Richard!$E$3:$CE$3),LEN(TRIM(J$2)))=TRIM(J$2))*IFERROR(Richard!$E$4:$CE$100,0)),0)+IFERROR(SUMPRODUCT((ISNUMBER(SEARCH($B6,Jenny!$B$4:$B$100)))*(LEFT(TRIM(Jenny!$E$3:$CE$3),LEN(TRIM(J$2)))=TRIM(J$2))*IFERROR(Jenny!$E$4:$CE$100,0)),0)+IFERROR(SUMPRODUCT((ISNUMBER(SEARCH($B6,Cooper!$B$4:$B$100)))*(LEFT(TRIM(Cooper!$E$3:$CE$3),LEN(TRIM(J$2)))=TRIM(J$2))*IFERROR(Cooper!$E$4:$CE$100,0)),0)+IFERROR(SUMPRODUCT((ISNUMBER(SEARCH($B6,Summer!$B$4:$B$100)))*(LEFT(TRIM(Summer!$E$3:$CE$3),LEN(TRIM(J$2)))=TRIM(J$2))*IFERROR(Summer!$E$4:$CE$100,0)),0)+IFERROR(SUMPRODUCT((ISNUMBER(SEARCH($B6,Julie!$B$4:$B$100)))*(LEFT(TRIM(Julie!$E$3:$CE$3),LEN(TRIM(J$2)))=TRIM(J$2))*IFERROR(Julie!$E$4:$CE$100,0)),0)+IFERROR(SUMPRODUCT((ISNUMBER(SEARCH($B6,Jiao!$B$4:$B$100)))*(LEFT(TRIM(Jiao!$E$3:$CE$3),LEN(TRIM(J$2)))=TRIM(J$2))*IFERROR(Jiao!$E$4:$CE$100,0)),0)</f>
      </c>
      <c r="K6" s="41">
        <f>=IFERROR(SUMPRODUCT((ISNUMBER(SEARCH($B6,KeDa!$B$4:$B$100)))*(LEFT(TRIM(KeDa!$E$3:$CE$3),LEN(TRIM(K$2)))=TRIM(K$2))*IFERROR(KeDa!$E$4:$CE$100,0)),0)+IFERROR(SUMPRODUCT((ISNUMBER(SEARCH($B6,Tank!$B$4:$B$100)))*(LEFT(TRIM(Tank!$E$3:$CE$3),LEN(TRIM(K$2)))=TRIM(K$2))*IFERROR(Tank!$E$4:$CE$100,0)),0)+IFERROR(SUMPRODUCT((ISNUMBER(SEARCH($B6,Richard!$B$4:$B$100)))*(LEFT(TRIM(Richard!$E$3:$CE$3),LEN(TRIM(K$2)))=TRIM(K$2))*IFERROR(Richard!$E$4:$CE$100,0)),0)+IFERROR(SUMPRODUCT((ISNUMBER(SEARCH($B6,Jenny!$B$4:$B$100)))*(LEFT(TRIM(Jenny!$E$3:$CE$3),LEN(TRIM(K$2)))=TRIM(K$2))*IFERROR(Jenny!$E$4:$CE$100,0)),0)+IFERROR(SUMPRODUCT((ISNUMBER(SEARCH($B6,Cooper!$B$4:$B$100)))*(LEFT(TRIM(Cooper!$E$3:$CE$3),LEN(TRIM(K$2)))=TRIM(K$2))*IFERROR(Cooper!$E$4:$CE$100,0)),0)+IFERROR(SUMPRODUCT((ISNUMBER(SEARCH($B6,Summer!$B$4:$B$100)))*(LEFT(TRIM(Summer!$E$3:$CE$3),LEN(TRIM(K$2)))=TRIM(K$2))*IFERROR(Summer!$E$4:$CE$100,0)),0)+IFERROR(SUMPRODUCT((ISNUMBER(SEARCH($B6,Julie!$B$4:$B$100)))*(LEFT(TRIM(Julie!$E$3:$CE$3),LEN(TRIM(K$2)))=TRIM(K$2))*IFERROR(Julie!$E$4:$CE$100,0)),0)+IFERROR(SUMPRODUCT((ISNUMBER(SEARCH($B6,Jiao!$B$4:$B$100)))*(LEFT(TRIM(Jiao!$E$3:$CE$3),LEN(TRIM(K$2)))=TRIM(K$2))*IFERROR(Jiao!$E$4:$CE$100,0)),0)</f>
      </c>
    </row>
    <row r="7" spans="1:11">
      <c r="A7" s="78">
        <v>5</v>
      </c>
      <c r="B7" s="24" t="s">
        <v>173</v>
      </c>
      <c r="C7" s="24" t="s">
        <v>104</v>
      </c>
      <c r="D7" s="24" t="s">
        <v>98</v>
      </c>
      <c r="E7" s="41">
        <f>=IFERROR(SUMPRODUCT((ISNUMBER(SEARCH($B7,KeDa!$B$4:$B$100)))*(LEFT(TRIM(KeDa!$E$3:$CE$3),LEN(TRIM(E$2)))=TRIM(E$2))*IFERROR(KeDa!$E$4:$CE$100,0)),0)+IFERROR(SUMPRODUCT((ISNUMBER(SEARCH($B7,Tank!$B$4:$B$100)))*(LEFT(TRIM(Tank!$E$3:$CE$3),LEN(TRIM(E$2)))=TRIM(E$2))*IFERROR(Tank!$E$4:$CE$100,0)),0)+IFERROR(SUMPRODUCT((ISNUMBER(SEARCH($B7,Richard!$B$4:$B$100)))*(LEFT(TRIM(Richard!$E$3:$CE$3),LEN(TRIM(E$2)))=TRIM(E$2))*IFERROR(Richard!$E$4:$CE$100,0)),0)+IFERROR(SUMPRODUCT((ISNUMBER(SEARCH($B7,Jenny!$B$4:$B$100)))*(LEFT(TRIM(Jenny!$E$3:$CE$3),LEN(TRIM(E$2)))=TRIM(E$2))*IFERROR(Jenny!$E$4:$CE$100,0)),0)+IFERROR(SUMPRODUCT((ISNUMBER(SEARCH($B7,Cooper!$B$4:$B$100)))*(LEFT(TRIM(Cooper!$E$3:$CE$3),LEN(TRIM(E$2)))=TRIM(E$2))*IFERROR(Cooper!$E$4:$CE$100,0)),0)+IFERROR(SUMPRODUCT((ISNUMBER(SEARCH($B7,Summer!$B$4:$B$100)))*(LEFT(TRIM(Summer!$E$3:$CE$3),LEN(TRIM(E$2)))=TRIM(E$2))*IFERROR(Summer!$E$4:$CE$100,0)),0)+IFERROR(SUMPRODUCT((ISNUMBER(SEARCH($B7,Julie!$B$4:$B$100)))*(LEFT(TRIM(Julie!$E$3:$CE$3),LEN(TRIM(E$2)))=TRIM(E$2))*IFERROR(Julie!$E$4:$CE$100,0)),0)+IFERROR(SUMPRODUCT((ISNUMBER(SEARCH($B7,Jiao!$B$4:$B$100)))*(LEFT(TRIM(Jiao!$E$3:$CE$3),LEN(TRIM(E$2)))=TRIM(E$2))*IFERROR(Jiao!$E$4:$CE$100,0)),0)</f>
      </c>
      <c r="F7" s="41">
        <f>=IFERROR(SUMPRODUCT((ISNUMBER(SEARCH($B7,KeDa!$B$4:$B$100)))*(LEFT(TRIM(KeDa!$E$3:$CE$3),LEN(TRIM(F$2)))=TRIM(F$2))*IFERROR(KeDa!$E$4:$CE$100,0)),0)+IFERROR(SUMPRODUCT((ISNUMBER(SEARCH($B7,Tank!$B$4:$B$100)))*(LEFT(TRIM(Tank!$E$3:$CE$3),LEN(TRIM(F$2)))=TRIM(F$2))*IFERROR(Tank!$E$4:$CE$100,0)),0)+IFERROR(SUMPRODUCT((ISNUMBER(SEARCH($B7,Richard!$B$4:$B$100)))*(LEFT(TRIM(Richard!$E$3:$CE$3),LEN(TRIM(F$2)))=TRIM(F$2))*IFERROR(Richard!$E$4:$CE$100,0)),0)+IFERROR(SUMPRODUCT((ISNUMBER(SEARCH($B7,Jenny!$B$4:$B$100)))*(LEFT(TRIM(Jenny!$E$3:$CE$3),LEN(TRIM(F$2)))=TRIM(F$2))*IFERROR(Jenny!$E$4:$CE$100,0)),0)+IFERROR(SUMPRODUCT((ISNUMBER(SEARCH($B7,Cooper!$B$4:$B$100)))*(LEFT(TRIM(Cooper!$E$3:$CE$3),LEN(TRIM(F$2)))=TRIM(F$2))*IFERROR(Cooper!$E$4:$CE$100,0)),0)+IFERROR(SUMPRODUCT((ISNUMBER(SEARCH($B7,Summer!$B$4:$B$100)))*(LEFT(TRIM(Summer!$E$3:$CE$3),LEN(TRIM(F$2)))=TRIM(F$2))*IFERROR(Summer!$E$4:$CE$100,0)),0)+IFERROR(SUMPRODUCT((ISNUMBER(SEARCH($B7,Julie!$B$4:$B$100)))*(LEFT(TRIM(Julie!$E$3:$CE$3),LEN(TRIM(F$2)))=TRIM(F$2))*IFERROR(Julie!$E$4:$CE$100,0)),0)+IFERROR(SUMPRODUCT((ISNUMBER(SEARCH($B7,Jiao!$B$4:$B$100)))*(LEFT(TRIM(Jiao!$E$3:$CE$3),LEN(TRIM(F$2)))=TRIM(F$2))*IFERROR(Jiao!$E$4:$CE$100,0)),0)</f>
      </c>
      <c r="G7" s="41">
        <f>=IFERROR(SUMPRODUCT((ISNUMBER(SEARCH($B7,KeDa!$B$4:$B$100)))*(LEFT(TRIM(KeDa!$E$3:$CE$3),LEN(TRIM(G$2)))=TRIM(G$2))*IFERROR(KeDa!$E$4:$CE$100,0)),0)+IFERROR(SUMPRODUCT((ISNUMBER(SEARCH($B7,Tank!$B$4:$B$100)))*(LEFT(TRIM(Tank!$E$3:$CE$3),LEN(TRIM(G$2)))=TRIM(G$2))*IFERROR(Tank!$E$4:$CE$100,0)),0)+IFERROR(SUMPRODUCT((ISNUMBER(SEARCH($B7,Richard!$B$4:$B$100)))*(LEFT(TRIM(Richard!$E$3:$CE$3),LEN(TRIM(G$2)))=TRIM(G$2))*IFERROR(Richard!$E$4:$CE$100,0)),0)+IFERROR(SUMPRODUCT((ISNUMBER(SEARCH($B7,Jenny!$B$4:$B$100)))*(LEFT(TRIM(Jenny!$E$3:$CE$3),LEN(TRIM(G$2)))=TRIM(G$2))*IFERROR(Jenny!$E$4:$CE$100,0)),0)+IFERROR(SUMPRODUCT((ISNUMBER(SEARCH($B7,Cooper!$B$4:$B$100)))*(LEFT(TRIM(Cooper!$E$3:$CE$3),LEN(TRIM(G$2)))=TRIM(G$2))*IFERROR(Cooper!$E$4:$CE$100,0)),0)+IFERROR(SUMPRODUCT((ISNUMBER(SEARCH($B7,Summer!$B$4:$B$100)))*(LEFT(TRIM(Summer!$E$3:$CE$3),LEN(TRIM(G$2)))=TRIM(G$2))*IFERROR(Summer!$E$4:$CE$100,0)),0)+IFERROR(SUMPRODUCT((ISNUMBER(SEARCH($B7,Julie!$B$4:$B$100)))*(LEFT(TRIM(Julie!$E$3:$CE$3),LEN(TRIM(G$2)))=TRIM(G$2))*IFERROR(Julie!$E$4:$CE$100,0)),0)+IFERROR(SUMPRODUCT((ISNUMBER(SEARCH($B7,Jiao!$B$4:$B$100)))*(LEFT(TRIM(Jiao!$E$3:$CE$3),LEN(TRIM(G$2)))=TRIM(G$2))*IFERROR(Jiao!$E$4:$CE$100,0)),0)</f>
      </c>
      <c r="H7" s="41">
        <f>=IFERROR(SUMPRODUCT((ISNUMBER(SEARCH($B7,KeDa!$B$4:$B$100)))*(LEFT(TRIM(KeDa!$E$3:$CE$3),LEN(TRIM(H$2)))=TRIM(H$2))*IFERROR(KeDa!$E$4:$CE$100,0)),0)+IFERROR(SUMPRODUCT((ISNUMBER(SEARCH($B7,Tank!$B$4:$B$100)))*(LEFT(TRIM(Tank!$E$3:$CE$3),LEN(TRIM(H$2)))=TRIM(H$2))*IFERROR(Tank!$E$4:$CE$100,0)),0)+IFERROR(SUMPRODUCT((ISNUMBER(SEARCH($B7,Richard!$B$4:$B$100)))*(LEFT(TRIM(Richard!$E$3:$CE$3),LEN(TRIM(H$2)))=TRIM(H$2))*IFERROR(Richard!$E$4:$CE$100,0)),0)+IFERROR(SUMPRODUCT((ISNUMBER(SEARCH($B7,Jenny!$B$4:$B$100)))*(LEFT(TRIM(Jenny!$E$3:$CE$3),LEN(TRIM(H$2)))=TRIM(H$2))*IFERROR(Jenny!$E$4:$CE$100,0)),0)+IFERROR(SUMPRODUCT((ISNUMBER(SEARCH($B7,Cooper!$B$4:$B$100)))*(LEFT(TRIM(Cooper!$E$3:$CE$3),LEN(TRIM(H$2)))=TRIM(H$2))*IFERROR(Cooper!$E$4:$CE$100,0)),0)+IFERROR(SUMPRODUCT((ISNUMBER(SEARCH($B7,Summer!$B$4:$B$100)))*(LEFT(TRIM(Summer!$E$3:$CE$3),LEN(TRIM(H$2)))=TRIM(H$2))*IFERROR(Summer!$E$4:$CE$100,0)),0)+IFERROR(SUMPRODUCT((ISNUMBER(SEARCH($B7,Julie!$B$4:$B$100)))*(LEFT(TRIM(Julie!$E$3:$CE$3),LEN(TRIM(H$2)))=TRIM(H$2))*IFERROR(Julie!$E$4:$CE$100,0)),0)+IFERROR(SUMPRODUCT((ISNUMBER(SEARCH($B7,Jiao!$B$4:$B$100)))*(LEFT(TRIM(Jiao!$E$3:$CE$3),LEN(TRIM(H$2)))=TRIM(H$2))*IFERROR(Jiao!$E$4:$CE$100,0)),0)</f>
      </c>
      <c r="I7" s="41">
        <f>=IFERROR(SUMPRODUCT((ISNUMBER(SEARCH($B7,KeDa!$B$4:$B$100)))*(LEFT(TRIM(KeDa!$E$3:$CE$3),LEN(TRIM(I$2)))=TRIM(I$2))*IFERROR(KeDa!$E$4:$CE$100,0)),0)+IFERROR(SUMPRODUCT((ISNUMBER(SEARCH($B7,Tank!$B$4:$B$100)))*(LEFT(TRIM(Tank!$E$3:$CE$3),LEN(TRIM(I$2)))=TRIM(I$2))*IFERROR(Tank!$E$4:$CE$100,0)),0)+IFERROR(SUMPRODUCT((ISNUMBER(SEARCH($B7,Richard!$B$4:$B$100)))*(LEFT(TRIM(Richard!$E$3:$CE$3),LEN(TRIM(I$2)))=TRIM(I$2))*IFERROR(Richard!$E$4:$CE$100,0)),0)+IFERROR(SUMPRODUCT((ISNUMBER(SEARCH($B7,Jenny!$B$4:$B$100)))*(LEFT(TRIM(Jenny!$E$3:$CE$3),LEN(TRIM(I$2)))=TRIM(I$2))*IFERROR(Jenny!$E$4:$CE$100,0)),0)+IFERROR(SUMPRODUCT((ISNUMBER(SEARCH($B7,Cooper!$B$4:$B$100)))*(LEFT(TRIM(Cooper!$E$3:$CE$3),LEN(TRIM(I$2)))=TRIM(I$2))*IFERROR(Cooper!$E$4:$CE$100,0)),0)+IFERROR(SUMPRODUCT((ISNUMBER(SEARCH($B7,Summer!$B$4:$B$100)))*(LEFT(TRIM(Summer!$E$3:$CE$3),LEN(TRIM(I$2)))=TRIM(I$2))*IFERROR(Summer!$E$4:$CE$100,0)),0)+IFERROR(SUMPRODUCT((ISNUMBER(SEARCH($B7,Julie!$B$4:$B$100)))*(LEFT(TRIM(Julie!$E$3:$CE$3),LEN(TRIM(I$2)))=TRIM(I$2))*IFERROR(Julie!$E$4:$CE$100,0)),0)+IFERROR(SUMPRODUCT((ISNUMBER(SEARCH($B7,Jiao!$B$4:$B$100)))*(LEFT(TRIM(Jiao!$E$3:$CE$3),LEN(TRIM(I$2)))=TRIM(I$2))*IFERROR(Jiao!$E$4:$CE$100,0)),0)</f>
      </c>
      <c r="J7" s="41">
        <f>=IFERROR(SUMPRODUCT((ISNUMBER(SEARCH($B7,KeDa!$B$4:$B$100)))*(LEFT(TRIM(KeDa!$E$3:$CE$3),LEN(TRIM(J$2)))=TRIM(J$2))*IFERROR(KeDa!$E$4:$CE$100,0)),0)+IFERROR(SUMPRODUCT((ISNUMBER(SEARCH($B7,Tank!$B$4:$B$100)))*(LEFT(TRIM(Tank!$E$3:$CE$3),LEN(TRIM(J$2)))=TRIM(J$2))*IFERROR(Tank!$E$4:$CE$100,0)),0)+IFERROR(SUMPRODUCT((ISNUMBER(SEARCH($B7,Richard!$B$4:$B$100)))*(LEFT(TRIM(Richard!$E$3:$CE$3),LEN(TRIM(J$2)))=TRIM(J$2))*IFERROR(Richard!$E$4:$CE$100,0)),0)+IFERROR(SUMPRODUCT((ISNUMBER(SEARCH($B7,Jenny!$B$4:$B$100)))*(LEFT(TRIM(Jenny!$E$3:$CE$3),LEN(TRIM(J$2)))=TRIM(J$2))*IFERROR(Jenny!$E$4:$CE$100,0)),0)+IFERROR(SUMPRODUCT((ISNUMBER(SEARCH($B7,Cooper!$B$4:$B$100)))*(LEFT(TRIM(Cooper!$E$3:$CE$3),LEN(TRIM(J$2)))=TRIM(J$2))*IFERROR(Cooper!$E$4:$CE$100,0)),0)+IFERROR(SUMPRODUCT((ISNUMBER(SEARCH($B7,Summer!$B$4:$B$100)))*(LEFT(TRIM(Summer!$E$3:$CE$3),LEN(TRIM(J$2)))=TRIM(J$2))*IFERROR(Summer!$E$4:$CE$100,0)),0)+IFERROR(SUMPRODUCT((ISNUMBER(SEARCH($B7,Julie!$B$4:$B$100)))*(LEFT(TRIM(Julie!$E$3:$CE$3),LEN(TRIM(J$2)))=TRIM(J$2))*IFERROR(Julie!$E$4:$CE$100,0)),0)+IFERROR(SUMPRODUCT((ISNUMBER(SEARCH($B7,Jiao!$B$4:$B$100)))*(LEFT(TRIM(Jiao!$E$3:$CE$3),LEN(TRIM(J$2)))=TRIM(J$2))*IFERROR(Jiao!$E$4:$CE$100,0)),0)</f>
      </c>
      <c r="K7" s="41">
        <f>=IFERROR(SUMPRODUCT((ISNUMBER(SEARCH($B7,KeDa!$B$4:$B$100)))*(LEFT(TRIM(KeDa!$E$3:$CE$3),LEN(TRIM(K$2)))=TRIM(K$2))*IFERROR(KeDa!$E$4:$CE$100,0)),0)+IFERROR(SUMPRODUCT((ISNUMBER(SEARCH($B7,Tank!$B$4:$B$100)))*(LEFT(TRIM(Tank!$E$3:$CE$3),LEN(TRIM(K$2)))=TRIM(K$2))*IFERROR(Tank!$E$4:$CE$100,0)),0)+IFERROR(SUMPRODUCT((ISNUMBER(SEARCH($B7,Richard!$B$4:$B$100)))*(LEFT(TRIM(Richard!$E$3:$CE$3),LEN(TRIM(K$2)))=TRIM(K$2))*IFERROR(Richard!$E$4:$CE$100,0)),0)+IFERROR(SUMPRODUCT((ISNUMBER(SEARCH($B7,Jenny!$B$4:$B$100)))*(LEFT(TRIM(Jenny!$E$3:$CE$3),LEN(TRIM(K$2)))=TRIM(K$2))*IFERROR(Jenny!$E$4:$CE$100,0)),0)+IFERROR(SUMPRODUCT((ISNUMBER(SEARCH($B7,Cooper!$B$4:$B$100)))*(LEFT(TRIM(Cooper!$E$3:$CE$3),LEN(TRIM(K$2)))=TRIM(K$2))*IFERROR(Cooper!$E$4:$CE$100,0)),0)+IFERROR(SUMPRODUCT((ISNUMBER(SEARCH($B7,Summer!$B$4:$B$100)))*(LEFT(TRIM(Summer!$E$3:$CE$3),LEN(TRIM(K$2)))=TRIM(K$2))*IFERROR(Summer!$E$4:$CE$100,0)),0)+IFERROR(SUMPRODUCT((ISNUMBER(SEARCH($B7,Julie!$B$4:$B$100)))*(LEFT(TRIM(Julie!$E$3:$CE$3),LEN(TRIM(K$2)))=TRIM(K$2))*IFERROR(Julie!$E$4:$CE$100,0)),0)+IFERROR(SUMPRODUCT((ISNUMBER(SEARCH($B7,Jiao!$B$4:$B$100)))*(LEFT(TRIM(Jiao!$E$3:$CE$3),LEN(TRIM(K$2)))=TRIM(K$2))*IFERROR(Jiao!$E$4:$CE$100,0)),0)</f>
      </c>
    </row>
    <row r="8" spans="1:11">
      <c r="A8" s="78">
        <v>6</v>
      </c>
      <c r="B8" s="24" t="s">
        <v>179</v>
      </c>
      <c r="C8" s="24" t="s">
        <v>106</v>
      </c>
      <c r="D8" s="24" t="s">
        <v>98</v>
      </c>
      <c r="E8" s="41">
        <f>=IFERROR(SUMPRODUCT((ISNUMBER(SEARCH($B8,KeDa!$B$4:$B$100)))*(LEFT(TRIM(KeDa!$E$3:$CE$3),LEN(TRIM(E$2)))=TRIM(E$2))*IFERROR(KeDa!$E$4:$CE$100,0)),0)+IFERROR(SUMPRODUCT((ISNUMBER(SEARCH($B8,Tank!$B$4:$B$100)))*(LEFT(TRIM(Tank!$E$3:$CE$3),LEN(TRIM(E$2)))=TRIM(E$2))*IFERROR(Tank!$E$4:$CE$100,0)),0)+IFERROR(SUMPRODUCT((ISNUMBER(SEARCH($B8,Richard!$B$4:$B$100)))*(LEFT(TRIM(Richard!$E$3:$CE$3),LEN(TRIM(E$2)))=TRIM(E$2))*IFERROR(Richard!$E$4:$CE$100,0)),0)+IFERROR(SUMPRODUCT((ISNUMBER(SEARCH($B8,Jenny!$B$4:$B$100)))*(LEFT(TRIM(Jenny!$E$3:$CE$3),LEN(TRIM(E$2)))=TRIM(E$2))*IFERROR(Jenny!$E$4:$CE$100,0)),0)+IFERROR(SUMPRODUCT((ISNUMBER(SEARCH($B8,Cooper!$B$4:$B$100)))*(LEFT(TRIM(Cooper!$E$3:$CE$3),LEN(TRIM(E$2)))=TRIM(E$2))*IFERROR(Cooper!$E$4:$CE$100,0)),0)+IFERROR(SUMPRODUCT((ISNUMBER(SEARCH($B8,Summer!$B$4:$B$100)))*(LEFT(TRIM(Summer!$E$3:$CE$3),LEN(TRIM(E$2)))=TRIM(E$2))*IFERROR(Summer!$E$4:$CE$100,0)),0)+IFERROR(SUMPRODUCT((ISNUMBER(SEARCH($B8,Julie!$B$4:$B$100)))*(LEFT(TRIM(Julie!$E$3:$CE$3),LEN(TRIM(E$2)))=TRIM(E$2))*IFERROR(Julie!$E$4:$CE$100,0)),0)+IFERROR(SUMPRODUCT((ISNUMBER(SEARCH($B8,Jiao!$B$4:$B$100)))*(LEFT(TRIM(Jiao!$E$3:$CE$3),LEN(TRIM(E$2)))=TRIM(E$2))*IFERROR(Jiao!$E$4:$CE$100,0)),0)</f>
      </c>
      <c r="F8" s="41">
        <f>=IFERROR(SUMPRODUCT((ISNUMBER(SEARCH($B8,KeDa!$B$4:$B$100)))*(LEFT(TRIM(KeDa!$E$3:$CE$3),LEN(TRIM(F$2)))=TRIM(F$2))*IFERROR(KeDa!$E$4:$CE$100,0)),0)+IFERROR(SUMPRODUCT((ISNUMBER(SEARCH($B8,Tank!$B$4:$B$100)))*(LEFT(TRIM(Tank!$E$3:$CE$3),LEN(TRIM(F$2)))=TRIM(F$2))*IFERROR(Tank!$E$4:$CE$100,0)),0)+IFERROR(SUMPRODUCT((ISNUMBER(SEARCH($B8,Richard!$B$4:$B$100)))*(LEFT(TRIM(Richard!$E$3:$CE$3),LEN(TRIM(F$2)))=TRIM(F$2))*IFERROR(Richard!$E$4:$CE$100,0)),0)+IFERROR(SUMPRODUCT((ISNUMBER(SEARCH($B8,Jenny!$B$4:$B$100)))*(LEFT(TRIM(Jenny!$E$3:$CE$3),LEN(TRIM(F$2)))=TRIM(F$2))*IFERROR(Jenny!$E$4:$CE$100,0)),0)+IFERROR(SUMPRODUCT((ISNUMBER(SEARCH($B8,Cooper!$B$4:$B$100)))*(LEFT(TRIM(Cooper!$E$3:$CE$3),LEN(TRIM(F$2)))=TRIM(F$2))*IFERROR(Cooper!$E$4:$CE$100,0)),0)+IFERROR(SUMPRODUCT((ISNUMBER(SEARCH($B8,Summer!$B$4:$B$100)))*(LEFT(TRIM(Summer!$E$3:$CE$3),LEN(TRIM(F$2)))=TRIM(F$2))*IFERROR(Summer!$E$4:$CE$100,0)),0)+IFERROR(SUMPRODUCT((ISNUMBER(SEARCH($B8,Julie!$B$4:$B$100)))*(LEFT(TRIM(Julie!$E$3:$CE$3),LEN(TRIM(F$2)))=TRIM(F$2))*IFERROR(Julie!$E$4:$CE$100,0)),0)+IFERROR(SUMPRODUCT((ISNUMBER(SEARCH($B8,Jiao!$B$4:$B$100)))*(LEFT(TRIM(Jiao!$E$3:$CE$3),LEN(TRIM(F$2)))=TRIM(F$2))*IFERROR(Jiao!$E$4:$CE$100,0)),0)</f>
      </c>
      <c r="G8" s="41">
        <f>=IFERROR(SUMPRODUCT((ISNUMBER(SEARCH($B8,KeDa!$B$4:$B$100)))*(LEFT(TRIM(KeDa!$E$3:$CE$3),LEN(TRIM(G$2)))=TRIM(G$2))*IFERROR(KeDa!$E$4:$CE$100,0)),0)+IFERROR(SUMPRODUCT((ISNUMBER(SEARCH($B8,Tank!$B$4:$B$100)))*(LEFT(TRIM(Tank!$E$3:$CE$3),LEN(TRIM(G$2)))=TRIM(G$2))*IFERROR(Tank!$E$4:$CE$100,0)),0)+IFERROR(SUMPRODUCT((ISNUMBER(SEARCH($B8,Richard!$B$4:$B$100)))*(LEFT(TRIM(Richard!$E$3:$CE$3),LEN(TRIM(G$2)))=TRIM(G$2))*IFERROR(Richard!$E$4:$CE$100,0)),0)+IFERROR(SUMPRODUCT((ISNUMBER(SEARCH($B8,Jenny!$B$4:$B$100)))*(LEFT(TRIM(Jenny!$E$3:$CE$3),LEN(TRIM(G$2)))=TRIM(G$2))*IFERROR(Jenny!$E$4:$CE$100,0)),0)+IFERROR(SUMPRODUCT((ISNUMBER(SEARCH($B8,Cooper!$B$4:$B$100)))*(LEFT(TRIM(Cooper!$E$3:$CE$3),LEN(TRIM(G$2)))=TRIM(G$2))*IFERROR(Cooper!$E$4:$CE$100,0)),0)+IFERROR(SUMPRODUCT((ISNUMBER(SEARCH($B8,Summer!$B$4:$B$100)))*(LEFT(TRIM(Summer!$E$3:$CE$3),LEN(TRIM(G$2)))=TRIM(G$2))*IFERROR(Summer!$E$4:$CE$100,0)),0)+IFERROR(SUMPRODUCT((ISNUMBER(SEARCH($B8,Julie!$B$4:$B$100)))*(LEFT(TRIM(Julie!$E$3:$CE$3),LEN(TRIM(G$2)))=TRIM(G$2))*IFERROR(Julie!$E$4:$CE$100,0)),0)+IFERROR(SUMPRODUCT((ISNUMBER(SEARCH($B8,Jiao!$B$4:$B$100)))*(LEFT(TRIM(Jiao!$E$3:$CE$3),LEN(TRIM(G$2)))=TRIM(G$2))*IFERROR(Jiao!$E$4:$CE$100,0)),0)</f>
      </c>
      <c r="H8" s="41">
        <f>=IFERROR(SUMPRODUCT((ISNUMBER(SEARCH($B8,KeDa!$B$4:$B$100)))*(LEFT(TRIM(KeDa!$E$3:$CE$3),LEN(TRIM(H$2)))=TRIM(H$2))*IFERROR(KeDa!$E$4:$CE$100,0)),0)+IFERROR(SUMPRODUCT((ISNUMBER(SEARCH($B8,Tank!$B$4:$B$100)))*(LEFT(TRIM(Tank!$E$3:$CE$3),LEN(TRIM(H$2)))=TRIM(H$2))*IFERROR(Tank!$E$4:$CE$100,0)),0)+IFERROR(SUMPRODUCT((ISNUMBER(SEARCH($B8,Richard!$B$4:$B$100)))*(LEFT(TRIM(Richard!$E$3:$CE$3),LEN(TRIM(H$2)))=TRIM(H$2))*IFERROR(Richard!$E$4:$CE$100,0)),0)+IFERROR(SUMPRODUCT((ISNUMBER(SEARCH($B8,Jenny!$B$4:$B$100)))*(LEFT(TRIM(Jenny!$E$3:$CE$3),LEN(TRIM(H$2)))=TRIM(H$2))*IFERROR(Jenny!$E$4:$CE$100,0)),0)+IFERROR(SUMPRODUCT((ISNUMBER(SEARCH($B8,Cooper!$B$4:$B$100)))*(LEFT(TRIM(Cooper!$E$3:$CE$3),LEN(TRIM(H$2)))=TRIM(H$2))*IFERROR(Cooper!$E$4:$CE$100,0)),0)+IFERROR(SUMPRODUCT((ISNUMBER(SEARCH($B8,Summer!$B$4:$B$100)))*(LEFT(TRIM(Summer!$E$3:$CE$3),LEN(TRIM(H$2)))=TRIM(H$2))*IFERROR(Summer!$E$4:$CE$100,0)),0)+IFERROR(SUMPRODUCT((ISNUMBER(SEARCH($B8,Julie!$B$4:$B$100)))*(LEFT(TRIM(Julie!$E$3:$CE$3),LEN(TRIM(H$2)))=TRIM(H$2))*IFERROR(Julie!$E$4:$CE$100,0)),0)+IFERROR(SUMPRODUCT((ISNUMBER(SEARCH($B8,Jiao!$B$4:$B$100)))*(LEFT(TRIM(Jiao!$E$3:$CE$3),LEN(TRIM(H$2)))=TRIM(H$2))*IFERROR(Jiao!$E$4:$CE$100,0)),0)</f>
      </c>
      <c r="I8" s="41">
        <f>=IFERROR(SUMPRODUCT((ISNUMBER(SEARCH($B8,KeDa!$B$4:$B$100)))*(LEFT(TRIM(KeDa!$E$3:$CE$3),LEN(TRIM(I$2)))=TRIM(I$2))*IFERROR(KeDa!$E$4:$CE$100,0)),0)+IFERROR(SUMPRODUCT((ISNUMBER(SEARCH($B8,Tank!$B$4:$B$100)))*(LEFT(TRIM(Tank!$E$3:$CE$3),LEN(TRIM(I$2)))=TRIM(I$2))*IFERROR(Tank!$E$4:$CE$100,0)),0)+IFERROR(SUMPRODUCT((ISNUMBER(SEARCH($B8,Richard!$B$4:$B$100)))*(LEFT(TRIM(Richard!$E$3:$CE$3),LEN(TRIM(I$2)))=TRIM(I$2))*IFERROR(Richard!$E$4:$CE$100,0)),0)+IFERROR(SUMPRODUCT((ISNUMBER(SEARCH($B8,Jenny!$B$4:$B$100)))*(LEFT(TRIM(Jenny!$E$3:$CE$3),LEN(TRIM(I$2)))=TRIM(I$2))*IFERROR(Jenny!$E$4:$CE$100,0)),0)+IFERROR(SUMPRODUCT((ISNUMBER(SEARCH($B8,Cooper!$B$4:$B$100)))*(LEFT(TRIM(Cooper!$E$3:$CE$3),LEN(TRIM(I$2)))=TRIM(I$2))*IFERROR(Cooper!$E$4:$CE$100,0)),0)+IFERROR(SUMPRODUCT((ISNUMBER(SEARCH($B8,Summer!$B$4:$B$100)))*(LEFT(TRIM(Summer!$E$3:$CE$3),LEN(TRIM(I$2)))=TRIM(I$2))*IFERROR(Summer!$E$4:$CE$100,0)),0)+IFERROR(SUMPRODUCT((ISNUMBER(SEARCH($B8,Julie!$B$4:$B$100)))*(LEFT(TRIM(Julie!$E$3:$CE$3),LEN(TRIM(I$2)))=TRIM(I$2))*IFERROR(Julie!$E$4:$CE$100,0)),0)+IFERROR(SUMPRODUCT((ISNUMBER(SEARCH($B8,Jiao!$B$4:$B$100)))*(LEFT(TRIM(Jiao!$E$3:$CE$3),LEN(TRIM(I$2)))=TRIM(I$2))*IFERROR(Jiao!$E$4:$CE$100,0)),0)</f>
      </c>
      <c r="J8" s="41">
        <f>=IFERROR(SUMPRODUCT((ISNUMBER(SEARCH($B8,KeDa!$B$4:$B$100)))*(LEFT(TRIM(KeDa!$E$3:$CE$3),LEN(TRIM(J$2)))=TRIM(J$2))*IFERROR(KeDa!$E$4:$CE$100,0)),0)+IFERROR(SUMPRODUCT((ISNUMBER(SEARCH($B8,Tank!$B$4:$B$100)))*(LEFT(TRIM(Tank!$E$3:$CE$3),LEN(TRIM(J$2)))=TRIM(J$2))*IFERROR(Tank!$E$4:$CE$100,0)),0)+IFERROR(SUMPRODUCT((ISNUMBER(SEARCH($B8,Richard!$B$4:$B$100)))*(LEFT(TRIM(Richard!$E$3:$CE$3),LEN(TRIM(J$2)))=TRIM(J$2))*IFERROR(Richard!$E$4:$CE$100,0)),0)+IFERROR(SUMPRODUCT((ISNUMBER(SEARCH($B8,Jenny!$B$4:$B$100)))*(LEFT(TRIM(Jenny!$E$3:$CE$3),LEN(TRIM(J$2)))=TRIM(J$2))*IFERROR(Jenny!$E$4:$CE$100,0)),0)+IFERROR(SUMPRODUCT((ISNUMBER(SEARCH($B8,Cooper!$B$4:$B$100)))*(LEFT(TRIM(Cooper!$E$3:$CE$3),LEN(TRIM(J$2)))=TRIM(J$2))*IFERROR(Cooper!$E$4:$CE$100,0)),0)+IFERROR(SUMPRODUCT((ISNUMBER(SEARCH($B8,Summer!$B$4:$B$100)))*(LEFT(TRIM(Summer!$E$3:$CE$3),LEN(TRIM(J$2)))=TRIM(J$2))*IFERROR(Summer!$E$4:$CE$100,0)),0)+IFERROR(SUMPRODUCT((ISNUMBER(SEARCH($B8,Julie!$B$4:$B$100)))*(LEFT(TRIM(Julie!$E$3:$CE$3),LEN(TRIM(J$2)))=TRIM(J$2))*IFERROR(Julie!$E$4:$CE$100,0)),0)+IFERROR(SUMPRODUCT((ISNUMBER(SEARCH($B8,Jiao!$B$4:$B$100)))*(LEFT(TRIM(Jiao!$E$3:$CE$3),LEN(TRIM(J$2)))=TRIM(J$2))*IFERROR(Jiao!$E$4:$CE$100,0)),0)</f>
      </c>
      <c r="K8" s="41">
        <f>=IFERROR(SUMPRODUCT((ISNUMBER(SEARCH($B8,KeDa!$B$4:$B$100)))*(LEFT(TRIM(KeDa!$E$3:$CE$3),LEN(TRIM(K$2)))=TRIM(K$2))*IFERROR(KeDa!$E$4:$CE$100,0)),0)+IFERROR(SUMPRODUCT((ISNUMBER(SEARCH($B8,Tank!$B$4:$B$100)))*(LEFT(TRIM(Tank!$E$3:$CE$3),LEN(TRIM(K$2)))=TRIM(K$2))*IFERROR(Tank!$E$4:$CE$100,0)),0)+IFERROR(SUMPRODUCT((ISNUMBER(SEARCH($B8,Richard!$B$4:$B$100)))*(LEFT(TRIM(Richard!$E$3:$CE$3),LEN(TRIM(K$2)))=TRIM(K$2))*IFERROR(Richard!$E$4:$CE$100,0)),0)+IFERROR(SUMPRODUCT((ISNUMBER(SEARCH($B8,Jenny!$B$4:$B$100)))*(LEFT(TRIM(Jenny!$E$3:$CE$3),LEN(TRIM(K$2)))=TRIM(K$2))*IFERROR(Jenny!$E$4:$CE$100,0)),0)+IFERROR(SUMPRODUCT((ISNUMBER(SEARCH($B8,Cooper!$B$4:$B$100)))*(LEFT(TRIM(Cooper!$E$3:$CE$3),LEN(TRIM(K$2)))=TRIM(K$2))*IFERROR(Cooper!$E$4:$CE$100,0)),0)+IFERROR(SUMPRODUCT((ISNUMBER(SEARCH($B8,Summer!$B$4:$B$100)))*(LEFT(TRIM(Summer!$E$3:$CE$3),LEN(TRIM(K$2)))=TRIM(K$2))*IFERROR(Summer!$E$4:$CE$100,0)),0)+IFERROR(SUMPRODUCT((ISNUMBER(SEARCH($B8,Julie!$B$4:$B$100)))*(LEFT(TRIM(Julie!$E$3:$CE$3),LEN(TRIM(K$2)))=TRIM(K$2))*IFERROR(Julie!$E$4:$CE$100,0)),0)+IFERROR(SUMPRODUCT((ISNUMBER(SEARCH($B8,Jiao!$B$4:$B$100)))*(LEFT(TRIM(Jiao!$E$3:$CE$3),LEN(TRIM(K$2)))=TRIM(K$2))*IFERROR(Jiao!$E$4:$CE$100,0)),0)</f>
      </c>
    </row>
    <row r="9" spans="1:11">
      <c r="A9" s="42">
        <v>7</v>
      </c>
      <c r="B9" s="43" t="s">
        <v>214</v>
      </c>
      <c r="C9" s="43" t="s">
        <v>1</v>
      </c>
      <c r="D9" s="43" t="s">
        <v>1</v>
      </c>
      <c r="E9" s="38" t="s">
        <v>1</v>
      </c>
      <c r="F9" s="38" t="s">
        <v>1</v>
      </c>
      <c r="G9" s="38" t="s">
        <v>1</v>
      </c>
      <c r="H9" s="38" t="s">
        <v>1</v>
      </c>
      <c r="I9" s="38" t="s">
        <v>1</v>
      </c>
      <c r="J9" s="38" t="s">
        <v>1</v>
      </c>
      <c r="K9" s="38" t="s">
        <v>1</v>
      </c>
    </row>
    <row r="10" spans="1:11">
      <c r="A10" s="42">
        <v>8</v>
      </c>
      <c r="B10" s="43" t="s">
        <v>215</v>
      </c>
      <c r="C10" s="43" t="s">
        <v>1</v>
      </c>
      <c r="D10" s="43" t="s">
        <v>1</v>
      </c>
      <c r="E10" s="38" t="s">
        <v>1</v>
      </c>
      <c r="F10" s="38" t="s">
        <v>1</v>
      </c>
      <c r="G10" s="38" t="s">
        <v>1</v>
      </c>
      <c r="H10" s="38" t="s">
        <v>1</v>
      </c>
      <c r="I10" s="38" t="s">
        <v>1</v>
      </c>
      <c r="J10" s="38" t="s">
        <v>1</v>
      </c>
      <c r="K10" s="38" t="s">
        <v>1</v>
      </c>
    </row>
    <row r="11" spans="1:11">
      <c r="A11" s="42">
        <v>9</v>
      </c>
      <c r="B11" s="43" t="s">
        <v>216</v>
      </c>
      <c r="C11" s="43" t="s">
        <v>1</v>
      </c>
      <c r="D11" s="43" t="s">
        <v>1</v>
      </c>
      <c r="E11" s="38" t="s">
        <v>1</v>
      </c>
      <c r="F11" s="38" t="s">
        <v>1</v>
      </c>
      <c r="G11" s="38" t="s">
        <v>1</v>
      </c>
      <c r="H11" s="38" t="s">
        <v>1</v>
      </c>
      <c r="I11" s="38" t="s">
        <v>1</v>
      </c>
      <c r="J11" s="38" t="s">
        <v>1</v>
      </c>
      <c r="K11" s="38" t="s">
        <v>1</v>
      </c>
    </row>
    <row r="12" spans="1:11">
      <c r="A12" s="42">
        <v>10</v>
      </c>
      <c r="B12" s="43" t="s">
        <v>217</v>
      </c>
      <c r="C12" s="43" t="s">
        <v>1</v>
      </c>
      <c r="D12" s="43" t="s">
        <v>1</v>
      </c>
      <c r="E12" s="38" t="s">
        <v>1</v>
      </c>
      <c r="F12" s="38" t="s">
        <v>1</v>
      </c>
      <c r="G12" s="38" t="s">
        <v>1</v>
      </c>
      <c r="H12" s="38" t="s">
        <v>1</v>
      </c>
      <c r="I12" s="38" t="s">
        <v>1</v>
      </c>
      <c r="J12" s="38" t="s">
        <v>1</v>
      </c>
      <c r="K12" s="38" t="s">
        <v>1</v>
      </c>
    </row>
  </sheetData>
  <mergeCells count="3">
    <mergeCell ref="A1:B1"/>
    <mergeCell ref="E1:H1"/>
    <mergeCell ref="I1:K1"/>
  </mergeCells>
</worksheet>
</file>

<file path=xl/worksheets/sheet4.xml><?xml version="1.0" encoding="utf-8"?>
<worksheet xmlns="http://schemas.openxmlformats.org/spreadsheetml/2006/main">
  <sheetPr codeName="Einstein">
    <tabColor rgb="FFFFFFFF"/>
  </sheetPr>
  <dimension ref="D13"/>
  <sheetViews>
    <sheetView showGridLines="true" workbookViewId="0"/>
  </sheetViews>
  <cols>
    <col min="1" max="1" width="8.71094" customWidth="true"/>
    <col min="2" max="4" width="21.7109" customWidth="true"/>
    <col min="5" max="5" width="26.7109" customWidth="true"/>
    <col min="6" max="6" width="20.7109" customWidth="true"/>
    <col min="7" max="7" width="20.7109" customWidth="true"/>
    <col min="8" max="8" width="21.7109" customWidth="true"/>
    <col min="9" max="9" width="24.7109" customWidth="true"/>
    <col min="10" max="10" width="13.7109" customWidth="true"/>
    <col min="11" max="11" width="14.7109" customWidth="true"/>
  </cols>
  <sheetData>
    <row r="1" spans="1:9">
      <c r="A1" s="52" t="s">
        <v>118</v>
      </c>
      <c r="C1" s="53" t="s">
        <v>1</v>
      </c>
      <c r="D1" s="53" t="s">
        <v>1</v>
      </c>
      <c r="E1" s="35" t="s">
        <v>108</v>
      </c>
      <c r="I1" s="36" t="s">
        <v>13</v>
      </c>
    </row>
    <row r="2" spans="1:11" ht="48.75" customHeight="true">
      <c r="A2" s="54" t="s">
        <v>155</v>
      </c>
      <c r="B2" s="55" t="s">
        <v>156</v>
      </c>
      <c r="C2" s="55" t="s">
        <v>157</v>
      </c>
      <c r="D2" s="56" t="s">
        <v>14</v>
      </c>
      <c r="E2" s="38" t="s">
        <v>15</v>
      </c>
      <c r="F2" s="38" t="s">
        <v>16</v>
      </c>
      <c r="G2" s="38" t="s">
        <v>17</v>
      </c>
      <c r="H2" s="38" t="s">
        <v>18</v>
      </c>
      <c r="I2" s="38" t="s">
        <v>19</v>
      </c>
      <c r="J2" s="38" t="s">
        <v>20</v>
      </c>
      <c r="K2" s="38" t="s">
        <v>21</v>
      </c>
    </row>
    <row r="3" spans="1:11">
      <c r="A3" s="57">
        <v>1</v>
      </c>
      <c r="B3" s="26" t="s">
        <v>165</v>
      </c>
      <c r="C3" s="26" t="s">
        <v>99</v>
      </c>
      <c r="D3" s="26" t="s">
        <v>100</v>
      </c>
      <c r="E3" s="41">
        <f>=IFERROR(SUMPRODUCT((ISNUMBER(SEARCH($B3,KeDa!$B$4:$B$100)))*(LEFT(TRIM(KeDa!$E$3:$CE$3),LEN(TRIM(E$2)))=TRIM(E$2))*IFERROR(KeDa!$E$4:$CE$100,0)),0)+IFERROR(SUMPRODUCT((ISNUMBER(SEARCH($B3,Tank!$B$4:$B$100)))*(LEFT(TRIM(Tank!$E$3:$CE$3),LEN(TRIM(E$2)))=TRIM(E$2))*IFERROR(Tank!$E$4:$CE$100,0)),0)+IFERROR(SUMPRODUCT((ISNUMBER(SEARCH($B3,Richard!$B$4:$B$100)))*(LEFT(TRIM(Richard!$E$3:$CE$3),LEN(TRIM(E$2)))=TRIM(E$2))*IFERROR(Richard!$E$4:$CE$100,0)),0)+IFERROR(SUMPRODUCT((ISNUMBER(SEARCH($B3,Jenny!$B$4:$B$100)))*(LEFT(TRIM(Jenny!$E$3:$CE$3),LEN(TRIM(E$2)))=TRIM(E$2))*IFERROR(Jenny!$E$4:$CE$100,0)),0)+IFERROR(SUMPRODUCT((ISNUMBER(SEARCH($B3,Cooper!$B$4:$B$100)))*(LEFT(TRIM(Cooper!$E$3:$CE$3),LEN(TRIM(E$2)))=TRIM(E$2))*IFERROR(Cooper!$E$4:$CE$100,0)),0)+IFERROR(SUMPRODUCT((ISNUMBER(SEARCH($B3,Summer!$B$4:$B$100)))*(LEFT(TRIM(Summer!$E$3:$CE$3),LEN(TRIM(E$2)))=TRIM(E$2))*IFERROR(Summer!$E$4:$CE$100,0)),0)+IFERROR(SUMPRODUCT((ISNUMBER(SEARCH($B3,Julie!$B$4:$B$100)))*(LEFT(TRIM(Julie!$E$3:$CE$3),LEN(TRIM(E$2)))=TRIM(E$2))*IFERROR(Julie!$E$4:$CE$100,0)),0)+IFERROR(SUMPRODUCT((ISNUMBER(SEARCH($B3,Jiao!$B$4:$B$100)))*(LEFT(TRIM(Jiao!$E$3:$CE$3),LEN(TRIM(E$2)))=TRIM(E$2))*IFERROR(Jiao!$E$4:$CE$100,0)),0)</f>
      </c>
      <c r="F3" s="41">
        <f>=IFERROR(SUMPRODUCT((ISNUMBER(SEARCH($B3,KeDa!$B$4:$B$100)))*(LEFT(TRIM(KeDa!$E$3:$CE$3),LEN(TRIM(F$2)))=TRIM(F$2))*IFERROR(KeDa!$E$4:$CE$100,0)),0)+IFERROR(SUMPRODUCT((ISNUMBER(SEARCH($B3,Tank!$B$4:$B$100)))*(LEFT(TRIM(Tank!$E$3:$CE$3),LEN(TRIM(F$2)))=TRIM(F$2))*IFERROR(Tank!$E$4:$CE$100,0)),0)+IFERROR(SUMPRODUCT((ISNUMBER(SEARCH($B3,Richard!$B$4:$B$100)))*(LEFT(TRIM(Richard!$E$3:$CE$3),LEN(TRIM(F$2)))=TRIM(F$2))*IFERROR(Richard!$E$4:$CE$100,0)),0)+IFERROR(SUMPRODUCT((ISNUMBER(SEARCH($B3,Jenny!$B$4:$B$100)))*(LEFT(TRIM(Jenny!$E$3:$CE$3),LEN(TRIM(F$2)))=TRIM(F$2))*IFERROR(Jenny!$E$4:$CE$100,0)),0)+IFERROR(SUMPRODUCT((ISNUMBER(SEARCH($B3,Cooper!$B$4:$B$100)))*(LEFT(TRIM(Cooper!$E$3:$CE$3),LEN(TRIM(F$2)))=TRIM(F$2))*IFERROR(Cooper!$E$4:$CE$100,0)),0)+IFERROR(SUMPRODUCT((ISNUMBER(SEARCH($B3,Summer!$B$4:$B$100)))*(LEFT(TRIM(Summer!$E$3:$CE$3),LEN(TRIM(F$2)))=TRIM(F$2))*IFERROR(Summer!$E$4:$CE$100,0)),0)+IFERROR(SUMPRODUCT((ISNUMBER(SEARCH($B3,Julie!$B$4:$B$100)))*(LEFT(TRIM(Julie!$E$3:$CE$3),LEN(TRIM(F$2)))=TRIM(F$2))*IFERROR(Julie!$E$4:$CE$100,0)),0)+IFERROR(SUMPRODUCT((ISNUMBER(SEARCH($B3,Jiao!$B$4:$B$100)))*(LEFT(TRIM(Jiao!$E$3:$CE$3),LEN(TRIM(F$2)))=TRIM(F$2))*IFERROR(Jiao!$E$4:$CE$100,0)),0)</f>
      </c>
      <c r="G3" s="41">
        <f>=IFERROR(SUMPRODUCT((ISNUMBER(SEARCH($B3,KeDa!$B$4:$B$100)))*(LEFT(TRIM(KeDa!$E$3:$CE$3),LEN(TRIM(G$2)))=TRIM(G$2))*IFERROR(KeDa!$E$4:$CE$100,0)),0)+IFERROR(SUMPRODUCT((ISNUMBER(SEARCH($B3,Tank!$B$4:$B$100)))*(LEFT(TRIM(Tank!$E$3:$CE$3),LEN(TRIM(G$2)))=TRIM(G$2))*IFERROR(Tank!$E$4:$CE$100,0)),0)+IFERROR(SUMPRODUCT((ISNUMBER(SEARCH($B3,Richard!$B$4:$B$100)))*(LEFT(TRIM(Richard!$E$3:$CE$3),LEN(TRIM(G$2)))=TRIM(G$2))*IFERROR(Richard!$E$4:$CE$100,0)),0)+IFERROR(SUMPRODUCT((ISNUMBER(SEARCH($B3,Jenny!$B$4:$B$100)))*(LEFT(TRIM(Jenny!$E$3:$CE$3),LEN(TRIM(G$2)))=TRIM(G$2))*IFERROR(Jenny!$E$4:$CE$100,0)),0)+IFERROR(SUMPRODUCT((ISNUMBER(SEARCH($B3,Cooper!$B$4:$B$100)))*(LEFT(TRIM(Cooper!$E$3:$CE$3),LEN(TRIM(G$2)))=TRIM(G$2))*IFERROR(Cooper!$E$4:$CE$100,0)),0)+IFERROR(SUMPRODUCT((ISNUMBER(SEARCH($B3,Summer!$B$4:$B$100)))*(LEFT(TRIM(Summer!$E$3:$CE$3),LEN(TRIM(G$2)))=TRIM(G$2))*IFERROR(Summer!$E$4:$CE$100,0)),0)+IFERROR(SUMPRODUCT((ISNUMBER(SEARCH($B3,Julie!$B$4:$B$100)))*(LEFT(TRIM(Julie!$E$3:$CE$3),LEN(TRIM(G$2)))=TRIM(G$2))*IFERROR(Julie!$E$4:$CE$100,0)),0)+IFERROR(SUMPRODUCT((ISNUMBER(SEARCH($B3,Jiao!$B$4:$B$100)))*(LEFT(TRIM(Jiao!$E$3:$CE$3),LEN(TRIM(G$2)))=TRIM(G$2))*IFERROR(Jiao!$E$4:$CE$100,0)),0)</f>
      </c>
      <c r="H3" s="41">
        <f>=IFERROR(SUMPRODUCT((ISNUMBER(SEARCH($B3,KeDa!$B$4:$B$100)))*(LEFT(TRIM(KeDa!$E$3:$CE$3),LEN(TRIM(H$2)))=TRIM(H$2))*IFERROR(KeDa!$E$4:$CE$100,0)),0)+IFERROR(SUMPRODUCT((ISNUMBER(SEARCH($B3,Tank!$B$4:$B$100)))*(LEFT(TRIM(Tank!$E$3:$CE$3),LEN(TRIM(H$2)))=TRIM(H$2))*IFERROR(Tank!$E$4:$CE$100,0)),0)+IFERROR(SUMPRODUCT((ISNUMBER(SEARCH($B3,Richard!$B$4:$B$100)))*(LEFT(TRIM(Richard!$E$3:$CE$3),LEN(TRIM(H$2)))=TRIM(H$2))*IFERROR(Richard!$E$4:$CE$100,0)),0)+IFERROR(SUMPRODUCT((ISNUMBER(SEARCH($B3,Jenny!$B$4:$B$100)))*(LEFT(TRIM(Jenny!$E$3:$CE$3),LEN(TRIM(H$2)))=TRIM(H$2))*IFERROR(Jenny!$E$4:$CE$100,0)),0)+IFERROR(SUMPRODUCT((ISNUMBER(SEARCH($B3,Cooper!$B$4:$B$100)))*(LEFT(TRIM(Cooper!$E$3:$CE$3),LEN(TRIM(H$2)))=TRIM(H$2))*IFERROR(Cooper!$E$4:$CE$100,0)),0)+IFERROR(SUMPRODUCT((ISNUMBER(SEARCH($B3,Summer!$B$4:$B$100)))*(LEFT(TRIM(Summer!$E$3:$CE$3),LEN(TRIM(H$2)))=TRIM(H$2))*IFERROR(Summer!$E$4:$CE$100,0)),0)+IFERROR(SUMPRODUCT((ISNUMBER(SEARCH($B3,Julie!$B$4:$B$100)))*(LEFT(TRIM(Julie!$E$3:$CE$3),LEN(TRIM(H$2)))=TRIM(H$2))*IFERROR(Julie!$E$4:$CE$100,0)),0)+IFERROR(SUMPRODUCT((ISNUMBER(SEARCH($B3,Jiao!$B$4:$B$100)))*(LEFT(TRIM(Jiao!$E$3:$CE$3),LEN(TRIM(H$2)))=TRIM(H$2))*IFERROR(Jiao!$E$4:$CE$100,0)),0)</f>
      </c>
      <c r="I3" s="41">
        <f>=IFERROR(SUMPRODUCT((ISNUMBER(SEARCH($B3,KeDa!$B$4:$B$100)))*(LEFT(TRIM(KeDa!$E$3:$CE$3),LEN(TRIM(I$2)))=TRIM(I$2))*IFERROR(KeDa!$E$4:$CE$100,0)),0)+IFERROR(SUMPRODUCT((ISNUMBER(SEARCH($B3,Tank!$B$4:$B$100)))*(LEFT(TRIM(Tank!$E$3:$CE$3),LEN(TRIM(I$2)))=TRIM(I$2))*IFERROR(Tank!$E$4:$CE$100,0)),0)+IFERROR(SUMPRODUCT((ISNUMBER(SEARCH($B3,Richard!$B$4:$B$100)))*(LEFT(TRIM(Richard!$E$3:$CE$3),LEN(TRIM(I$2)))=TRIM(I$2))*IFERROR(Richard!$E$4:$CE$100,0)),0)+IFERROR(SUMPRODUCT((ISNUMBER(SEARCH($B3,Jenny!$B$4:$B$100)))*(LEFT(TRIM(Jenny!$E$3:$CE$3),LEN(TRIM(I$2)))=TRIM(I$2))*IFERROR(Jenny!$E$4:$CE$100,0)),0)+IFERROR(SUMPRODUCT((ISNUMBER(SEARCH($B3,Cooper!$B$4:$B$100)))*(LEFT(TRIM(Cooper!$E$3:$CE$3),LEN(TRIM(I$2)))=TRIM(I$2))*IFERROR(Cooper!$E$4:$CE$100,0)),0)+IFERROR(SUMPRODUCT((ISNUMBER(SEARCH($B3,Summer!$B$4:$B$100)))*(LEFT(TRIM(Summer!$E$3:$CE$3),LEN(TRIM(I$2)))=TRIM(I$2))*IFERROR(Summer!$E$4:$CE$100,0)),0)+IFERROR(SUMPRODUCT((ISNUMBER(SEARCH($B3,Julie!$B$4:$B$100)))*(LEFT(TRIM(Julie!$E$3:$CE$3),LEN(TRIM(I$2)))=TRIM(I$2))*IFERROR(Julie!$E$4:$CE$100,0)),0)+IFERROR(SUMPRODUCT((ISNUMBER(SEARCH($B3,Jiao!$B$4:$B$100)))*(LEFT(TRIM(Jiao!$E$3:$CE$3),LEN(TRIM(I$2)))=TRIM(I$2))*IFERROR(Jiao!$E$4:$CE$100,0)),0)</f>
      </c>
      <c r="J3" s="41">
        <f>=IFERROR(SUMPRODUCT((ISNUMBER(SEARCH($B3,KeDa!$B$4:$B$100)))*(LEFT(TRIM(KeDa!$E$3:$CE$3),LEN(TRIM(J$2)))=TRIM(J$2))*IFERROR(KeDa!$E$4:$CE$100,0)),0)+IFERROR(SUMPRODUCT((ISNUMBER(SEARCH($B3,Tank!$B$4:$B$100)))*(LEFT(TRIM(Tank!$E$3:$CE$3),LEN(TRIM(J$2)))=TRIM(J$2))*IFERROR(Tank!$E$4:$CE$100,0)),0)+IFERROR(SUMPRODUCT((ISNUMBER(SEARCH($B3,Richard!$B$4:$B$100)))*(LEFT(TRIM(Richard!$E$3:$CE$3),LEN(TRIM(J$2)))=TRIM(J$2))*IFERROR(Richard!$E$4:$CE$100,0)),0)+IFERROR(SUMPRODUCT((ISNUMBER(SEARCH($B3,Jenny!$B$4:$B$100)))*(LEFT(TRIM(Jenny!$E$3:$CE$3),LEN(TRIM(J$2)))=TRIM(J$2))*IFERROR(Jenny!$E$4:$CE$100,0)),0)+IFERROR(SUMPRODUCT((ISNUMBER(SEARCH($B3,Cooper!$B$4:$B$100)))*(LEFT(TRIM(Cooper!$E$3:$CE$3),LEN(TRIM(J$2)))=TRIM(J$2))*IFERROR(Cooper!$E$4:$CE$100,0)),0)+IFERROR(SUMPRODUCT((ISNUMBER(SEARCH($B3,Summer!$B$4:$B$100)))*(LEFT(TRIM(Summer!$E$3:$CE$3),LEN(TRIM(J$2)))=TRIM(J$2))*IFERROR(Summer!$E$4:$CE$100,0)),0)+IFERROR(SUMPRODUCT((ISNUMBER(SEARCH($B3,Julie!$B$4:$B$100)))*(LEFT(TRIM(Julie!$E$3:$CE$3),LEN(TRIM(J$2)))=TRIM(J$2))*IFERROR(Julie!$E$4:$CE$100,0)),0)+IFERROR(SUMPRODUCT((ISNUMBER(SEARCH($B3,Jiao!$B$4:$B$100)))*(LEFT(TRIM(Jiao!$E$3:$CE$3),LEN(TRIM(J$2)))=TRIM(J$2))*IFERROR(Jiao!$E$4:$CE$100,0)),0)</f>
      </c>
      <c r="K3" s="41">
        <f>=IFERROR(SUMPRODUCT((ISNUMBER(SEARCH($B3,KeDa!$B$4:$B$100)))*(LEFT(TRIM(KeDa!$E$3:$CE$3),LEN(TRIM(K$2)))=TRIM(K$2))*IFERROR(KeDa!$E$4:$CE$100,0)),0)+IFERROR(SUMPRODUCT((ISNUMBER(SEARCH($B3,Tank!$B$4:$B$100)))*(LEFT(TRIM(Tank!$E$3:$CE$3),LEN(TRIM(K$2)))=TRIM(K$2))*IFERROR(Tank!$E$4:$CE$100,0)),0)+IFERROR(SUMPRODUCT((ISNUMBER(SEARCH($B3,Richard!$B$4:$B$100)))*(LEFT(TRIM(Richard!$E$3:$CE$3),LEN(TRIM(K$2)))=TRIM(K$2))*IFERROR(Richard!$E$4:$CE$100,0)),0)+IFERROR(SUMPRODUCT((ISNUMBER(SEARCH($B3,Jenny!$B$4:$B$100)))*(LEFT(TRIM(Jenny!$E$3:$CE$3),LEN(TRIM(K$2)))=TRIM(K$2))*IFERROR(Jenny!$E$4:$CE$100,0)),0)+IFERROR(SUMPRODUCT((ISNUMBER(SEARCH($B3,Cooper!$B$4:$B$100)))*(LEFT(TRIM(Cooper!$E$3:$CE$3),LEN(TRIM(K$2)))=TRIM(K$2))*IFERROR(Cooper!$E$4:$CE$100,0)),0)+IFERROR(SUMPRODUCT((ISNUMBER(SEARCH($B3,Summer!$B$4:$B$100)))*(LEFT(TRIM(Summer!$E$3:$CE$3),LEN(TRIM(K$2)))=TRIM(K$2))*IFERROR(Summer!$E$4:$CE$100,0)),0)+IFERROR(SUMPRODUCT((ISNUMBER(SEARCH($B3,Julie!$B$4:$B$100)))*(LEFT(TRIM(Julie!$E$3:$CE$3),LEN(TRIM(K$2)))=TRIM(K$2))*IFERROR(Julie!$E$4:$CE$100,0)),0)+IFERROR(SUMPRODUCT((ISNUMBER(SEARCH($B3,Jiao!$B$4:$B$100)))*(LEFT(TRIM(Jiao!$E$3:$CE$3),LEN(TRIM(K$2)))=TRIM(K$2))*IFERROR(Jiao!$E$4:$CE$100,0)),0)</f>
      </c>
    </row>
    <row r="4" spans="1:11">
      <c r="A4" s="57">
        <v>2</v>
      </c>
      <c r="B4" s="26" t="s">
        <v>166</v>
      </c>
      <c r="C4" s="26" t="s">
        <v>99</v>
      </c>
      <c r="D4" s="26" t="s">
        <v>100</v>
      </c>
      <c r="E4" s="41">
        <f>=IFERROR(SUMPRODUCT((ISNUMBER(SEARCH($B4,KeDa!$B$4:$B$100)))*(LEFT(TRIM(KeDa!$E$3:$CE$3),LEN(TRIM(E$2)))=TRIM(E$2))*IFERROR(KeDa!$E$4:$CE$100,0)),0)+IFERROR(SUMPRODUCT((ISNUMBER(SEARCH($B4,Tank!$B$4:$B$100)))*(LEFT(TRIM(Tank!$E$3:$CE$3),LEN(TRIM(E$2)))=TRIM(E$2))*IFERROR(Tank!$E$4:$CE$100,0)),0)+IFERROR(SUMPRODUCT((ISNUMBER(SEARCH($B4,Richard!$B$4:$B$100)))*(LEFT(TRIM(Richard!$E$3:$CE$3),LEN(TRIM(E$2)))=TRIM(E$2))*IFERROR(Richard!$E$4:$CE$100,0)),0)+IFERROR(SUMPRODUCT((ISNUMBER(SEARCH($B4,Jenny!$B$4:$B$100)))*(LEFT(TRIM(Jenny!$E$3:$CE$3),LEN(TRIM(E$2)))=TRIM(E$2))*IFERROR(Jenny!$E$4:$CE$100,0)),0)+IFERROR(SUMPRODUCT((ISNUMBER(SEARCH($B4,Cooper!$B$4:$B$100)))*(LEFT(TRIM(Cooper!$E$3:$CE$3),LEN(TRIM(E$2)))=TRIM(E$2))*IFERROR(Cooper!$E$4:$CE$100,0)),0)+IFERROR(SUMPRODUCT((ISNUMBER(SEARCH($B4,Summer!$B$4:$B$100)))*(LEFT(TRIM(Summer!$E$3:$CE$3),LEN(TRIM(E$2)))=TRIM(E$2))*IFERROR(Summer!$E$4:$CE$100,0)),0)+IFERROR(SUMPRODUCT((ISNUMBER(SEARCH($B4,Julie!$B$4:$B$100)))*(LEFT(TRIM(Julie!$E$3:$CE$3),LEN(TRIM(E$2)))=TRIM(E$2))*IFERROR(Julie!$E$4:$CE$100,0)),0)+IFERROR(SUMPRODUCT((ISNUMBER(SEARCH($B4,Jiao!$B$4:$B$100)))*(LEFT(TRIM(Jiao!$E$3:$CE$3),LEN(TRIM(E$2)))=TRIM(E$2))*IFERROR(Jiao!$E$4:$CE$100,0)),0)</f>
      </c>
      <c r="F4" s="41">
        <f>=IFERROR(SUMPRODUCT((ISNUMBER(SEARCH($B4,KeDa!$B$4:$B$100)))*(LEFT(TRIM(KeDa!$E$3:$CE$3),LEN(TRIM(F$2)))=TRIM(F$2))*IFERROR(KeDa!$E$4:$CE$100,0)),0)+IFERROR(SUMPRODUCT((ISNUMBER(SEARCH($B4,Tank!$B$4:$B$100)))*(LEFT(TRIM(Tank!$E$3:$CE$3),LEN(TRIM(F$2)))=TRIM(F$2))*IFERROR(Tank!$E$4:$CE$100,0)),0)+IFERROR(SUMPRODUCT((ISNUMBER(SEARCH($B4,Richard!$B$4:$B$100)))*(LEFT(TRIM(Richard!$E$3:$CE$3),LEN(TRIM(F$2)))=TRIM(F$2))*IFERROR(Richard!$E$4:$CE$100,0)),0)+IFERROR(SUMPRODUCT((ISNUMBER(SEARCH($B4,Jenny!$B$4:$B$100)))*(LEFT(TRIM(Jenny!$E$3:$CE$3),LEN(TRIM(F$2)))=TRIM(F$2))*IFERROR(Jenny!$E$4:$CE$100,0)),0)+IFERROR(SUMPRODUCT((ISNUMBER(SEARCH($B4,Cooper!$B$4:$B$100)))*(LEFT(TRIM(Cooper!$E$3:$CE$3),LEN(TRIM(F$2)))=TRIM(F$2))*IFERROR(Cooper!$E$4:$CE$100,0)),0)+IFERROR(SUMPRODUCT((ISNUMBER(SEARCH($B4,Summer!$B$4:$B$100)))*(LEFT(TRIM(Summer!$E$3:$CE$3),LEN(TRIM(F$2)))=TRIM(F$2))*IFERROR(Summer!$E$4:$CE$100,0)),0)+IFERROR(SUMPRODUCT((ISNUMBER(SEARCH($B4,Julie!$B$4:$B$100)))*(LEFT(TRIM(Julie!$E$3:$CE$3),LEN(TRIM(F$2)))=TRIM(F$2))*IFERROR(Julie!$E$4:$CE$100,0)),0)+IFERROR(SUMPRODUCT((ISNUMBER(SEARCH($B4,Jiao!$B$4:$B$100)))*(LEFT(TRIM(Jiao!$E$3:$CE$3),LEN(TRIM(F$2)))=TRIM(F$2))*IFERROR(Jiao!$E$4:$CE$100,0)),0)</f>
      </c>
      <c r="G4" s="41">
        <f>=IFERROR(SUMPRODUCT((ISNUMBER(SEARCH($B4,KeDa!$B$4:$B$100)))*(LEFT(TRIM(KeDa!$E$3:$CE$3),LEN(TRIM(G$2)))=TRIM(G$2))*IFERROR(KeDa!$E$4:$CE$100,0)),0)+IFERROR(SUMPRODUCT((ISNUMBER(SEARCH($B4,Tank!$B$4:$B$100)))*(LEFT(TRIM(Tank!$E$3:$CE$3),LEN(TRIM(G$2)))=TRIM(G$2))*IFERROR(Tank!$E$4:$CE$100,0)),0)+IFERROR(SUMPRODUCT((ISNUMBER(SEARCH($B4,Richard!$B$4:$B$100)))*(LEFT(TRIM(Richard!$E$3:$CE$3),LEN(TRIM(G$2)))=TRIM(G$2))*IFERROR(Richard!$E$4:$CE$100,0)),0)+IFERROR(SUMPRODUCT((ISNUMBER(SEARCH($B4,Jenny!$B$4:$B$100)))*(LEFT(TRIM(Jenny!$E$3:$CE$3),LEN(TRIM(G$2)))=TRIM(G$2))*IFERROR(Jenny!$E$4:$CE$100,0)),0)+IFERROR(SUMPRODUCT((ISNUMBER(SEARCH($B4,Cooper!$B$4:$B$100)))*(LEFT(TRIM(Cooper!$E$3:$CE$3),LEN(TRIM(G$2)))=TRIM(G$2))*IFERROR(Cooper!$E$4:$CE$100,0)),0)+IFERROR(SUMPRODUCT((ISNUMBER(SEARCH($B4,Summer!$B$4:$B$100)))*(LEFT(TRIM(Summer!$E$3:$CE$3),LEN(TRIM(G$2)))=TRIM(G$2))*IFERROR(Summer!$E$4:$CE$100,0)),0)+IFERROR(SUMPRODUCT((ISNUMBER(SEARCH($B4,Julie!$B$4:$B$100)))*(LEFT(TRIM(Julie!$E$3:$CE$3),LEN(TRIM(G$2)))=TRIM(G$2))*IFERROR(Julie!$E$4:$CE$100,0)),0)+IFERROR(SUMPRODUCT((ISNUMBER(SEARCH($B4,Jiao!$B$4:$B$100)))*(LEFT(TRIM(Jiao!$E$3:$CE$3),LEN(TRIM(G$2)))=TRIM(G$2))*IFERROR(Jiao!$E$4:$CE$100,0)),0)</f>
      </c>
      <c r="H4" s="41">
        <f>=IFERROR(SUMPRODUCT((ISNUMBER(SEARCH($B4,KeDa!$B$4:$B$100)))*(LEFT(TRIM(KeDa!$E$3:$CE$3),LEN(TRIM(H$2)))=TRIM(H$2))*IFERROR(KeDa!$E$4:$CE$100,0)),0)+IFERROR(SUMPRODUCT((ISNUMBER(SEARCH($B4,Tank!$B$4:$B$100)))*(LEFT(TRIM(Tank!$E$3:$CE$3),LEN(TRIM(H$2)))=TRIM(H$2))*IFERROR(Tank!$E$4:$CE$100,0)),0)+IFERROR(SUMPRODUCT((ISNUMBER(SEARCH($B4,Richard!$B$4:$B$100)))*(LEFT(TRIM(Richard!$E$3:$CE$3),LEN(TRIM(H$2)))=TRIM(H$2))*IFERROR(Richard!$E$4:$CE$100,0)),0)+IFERROR(SUMPRODUCT((ISNUMBER(SEARCH($B4,Jenny!$B$4:$B$100)))*(LEFT(TRIM(Jenny!$E$3:$CE$3),LEN(TRIM(H$2)))=TRIM(H$2))*IFERROR(Jenny!$E$4:$CE$100,0)),0)+IFERROR(SUMPRODUCT((ISNUMBER(SEARCH($B4,Cooper!$B$4:$B$100)))*(LEFT(TRIM(Cooper!$E$3:$CE$3),LEN(TRIM(H$2)))=TRIM(H$2))*IFERROR(Cooper!$E$4:$CE$100,0)),0)+IFERROR(SUMPRODUCT((ISNUMBER(SEARCH($B4,Summer!$B$4:$B$100)))*(LEFT(TRIM(Summer!$E$3:$CE$3),LEN(TRIM(H$2)))=TRIM(H$2))*IFERROR(Summer!$E$4:$CE$100,0)),0)+IFERROR(SUMPRODUCT((ISNUMBER(SEARCH($B4,Julie!$B$4:$B$100)))*(LEFT(TRIM(Julie!$E$3:$CE$3),LEN(TRIM(H$2)))=TRIM(H$2))*IFERROR(Julie!$E$4:$CE$100,0)),0)+IFERROR(SUMPRODUCT((ISNUMBER(SEARCH($B4,Jiao!$B$4:$B$100)))*(LEFT(TRIM(Jiao!$E$3:$CE$3),LEN(TRIM(H$2)))=TRIM(H$2))*IFERROR(Jiao!$E$4:$CE$100,0)),0)</f>
      </c>
      <c r="I4" s="41">
        <f>=IFERROR(SUMPRODUCT((ISNUMBER(SEARCH($B4,KeDa!$B$4:$B$100)))*(LEFT(TRIM(KeDa!$E$3:$CE$3),LEN(TRIM(I$2)))=TRIM(I$2))*IFERROR(KeDa!$E$4:$CE$100,0)),0)+IFERROR(SUMPRODUCT((ISNUMBER(SEARCH($B4,Tank!$B$4:$B$100)))*(LEFT(TRIM(Tank!$E$3:$CE$3),LEN(TRIM(I$2)))=TRIM(I$2))*IFERROR(Tank!$E$4:$CE$100,0)),0)+IFERROR(SUMPRODUCT((ISNUMBER(SEARCH($B4,Richard!$B$4:$B$100)))*(LEFT(TRIM(Richard!$E$3:$CE$3),LEN(TRIM(I$2)))=TRIM(I$2))*IFERROR(Richard!$E$4:$CE$100,0)),0)+IFERROR(SUMPRODUCT((ISNUMBER(SEARCH($B4,Jenny!$B$4:$B$100)))*(LEFT(TRIM(Jenny!$E$3:$CE$3),LEN(TRIM(I$2)))=TRIM(I$2))*IFERROR(Jenny!$E$4:$CE$100,0)),0)+IFERROR(SUMPRODUCT((ISNUMBER(SEARCH($B4,Cooper!$B$4:$B$100)))*(LEFT(TRIM(Cooper!$E$3:$CE$3),LEN(TRIM(I$2)))=TRIM(I$2))*IFERROR(Cooper!$E$4:$CE$100,0)),0)+IFERROR(SUMPRODUCT((ISNUMBER(SEARCH($B4,Summer!$B$4:$B$100)))*(LEFT(TRIM(Summer!$E$3:$CE$3),LEN(TRIM(I$2)))=TRIM(I$2))*IFERROR(Summer!$E$4:$CE$100,0)),0)+IFERROR(SUMPRODUCT((ISNUMBER(SEARCH($B4,Julie!$B$4:$B$100)))*(LEFT(TRIM(Julie!$E$3:$CE$3),LEN(TRIM(I$2)))=TRIM(I$2))*IFERROR(Julie!$E$4:$CE$100,0)),0)+IFERROR(SUMPRODUCT((ISNUMBER(SEARCH($B4,Jiao!$B$4:$B$100)))*(LEFT(TRIM(Jiao!$E$3:$CE$3),LEN(TRIM(I$2)))=TRIM(I$2))*IFERROR(Jiao!$E$4:$CE$100,0)),0)</f>
      </c>
      <c r="J4" s="41">
        <f>=IFERROR(SUMPRODUCT((ISNUMBER(SEARCH($B4,KeDa!$B$4:$B$100)))*(LEFT(TRIM(KeDa!$E$3:$CE$3),LEN(TRIM(J$2)))=TRIM(J$2))*IFERROR(KeDa!$E$4:$CE$100,0)),0)+IFERROR(SUMPRODUCT((ISNUMBER(SEARCH($B4,Tank!$B$4:$B$100)))*(LEFT(TRIM(Tank!$E$3:$CE$3),LEN(TRIM(J$2)))=TRIM(J$2))*IFERROR(Tank!$E$4:$CE$100,0)),0)+IFERROR(SUMPRODUCT((ISNUMBER(SEARCH($B4,Richard!$B$4:$B$100)))*(LEFT(TRIM(Richard!$E$3:$CE$3),LEN(TRIM(J$2)))=TRIM(J$2))*IFERROR(Richard!$E$4:$CE$100,0)),0)+IFERROR(SUMPRODUCT((ISNUMBER(SEARCH($B4,Jenny!$B$4:$B$100)))*(LEFT(TRIM(Jenny!$E$3:$CE$3),LEN(TRIM(J$2)))=TRIM(J$2))*IFERROR(Jenny!$E$4:$CE$100,0)),0)+IFERROR(SUMPRODUCT((ISNUMBER(SEARCH($B4,Cooper!$B$4:$B$100)))*(LEFT(TRIM(Cooper!$E$3:$CE$3),LEN(TRIM(J$2)))=TRIM(J$2))*IFERROR(Cooper!$E$4:$CE$100,0)),0)+IFERROR(SUMPRODUCT((ISNUMBER(SEARCH($B4,Summer!$B$4:$B$100)))*(LEFT(TRIM(Summer!$E$3:$CE$3),LEN(TRIM(J$2)))=TRIM(J$2))*IFERROR(Summer!$E$4:$CE$100,0)),0)+IFERROR(SUMPRODUCT((ISNUMBER(SEARCH($B4,Julie!$B$4:$B$100)))*(LEFT(TRIM(Julie!$E$3:$CE$3),LEN(TRIM(J$2)))=TRIM(J$2))*IFERROR(Julie!$E$4:$CE$100,0)),0)+IFERROR(SUMPRODUCT((ISNUMBER(SEARCH($B4,Jiao!$B$4:$B$100)))*(LEFT(TRIM(Jiao!$E$3:$CE$3),LEN(TRIM(J$2)))=TRIM(J$2))*IFERROR(Jiao!$E$4:$CE$100,0)),0)</f>
      </c>
      <c r="K4" s="41">
        <f>=IFERROR(SUMPRODUCT((ISNUMBER(SEARCH($B4,KeDa!$B$4:$B$100)))*(LEFT(TRIM(KeDa!$E$3:$CE$3),LEN(TRIM(K$2)))=TRIM(K$2))*IFERROR(KeDa!$E$4:$CE$100,0)),0)+IFERROR(SUMPRODUCT((ISNUMBER(SEARCH($B4,Tank!$B$4:$B$100)))*(LEFT(TRIM(Tank!$E$3:$CE$3),LEN(TRIM(K$2)))=TRIM(K$2))*IFERROR(Tank!$E$4:$CE$100,0)),0)+IFERROR(SUMPRODUCT((ISNUMBER(SEARCH($B4,Richard!$B$4:$B$100)))*(LEFT(TRIM(Richard!$E$3:$CE$3),LEN(TRIM(K$2)))=TRIM(K$2))*IFERROR(Richard!$E$4:$CE$100,0)),0)+IFERROR(SUMPRODUCT((ISNUMBER(SEARCH($B4,Jenny!$B$4:$B$100)))*(LEFT(TRIM(Jenny!$E$3:$CE$3),LEN(TRIM(K$2)))=TRIM(K$2))*IFERROR(Jenny!$E$4:$CE$100,0)),0)+IFERROR(SUMPRODUCT((ISNUMBER(SEARCH($B4,Cooper!$B$4:$B$100)))*(LEFT(TRIM(Cooper!$E$3:$CE$3),LEN(TRIM(K$2)))=TRIM(K$2))*IFERROR(Cooper!$E$4:$CE$100,0)),0)+IFERROR(SUMPRODUCT((ISNUMBER(SEARCH($B4,Summer!$B$4:$B$100)))*(LEFT(TRIM(Summer!$E$3:$CE$3),LEN(TRIM(K$2)))=TRIM(K$2))*IFERROR(Summer!$E$4:$CE$100,0)),0)+IFERROR(SUMPRODUCT((ISNUMBER(SEARCH($B4,Julie!$B$4:$B$100)))*(LEFT(TRIM(Julie!$E$3:$CE$3),LEN(TRIM(K$2)))=TRIM(K$2))*IFERROR(Julie!$E$4:$CE$100,0)),0)+IFERROR(SUMPRODUCT((ISNUMBER(SEARCH($B4,Jiao!$B$4:$B$100)))*(LEFT(TRIM(Jiao!$E$3:$CE$3),LEN(TRIM(K$2)))=TRIM(K$2))*IFERROR(Jiao!$E$4:$CE$100,0)),0)</f>
      </c>
    </row>
    <row r="5" spans="1:11">
      <c r="A5" s="57">
        <v>3</v>
      </c>
      <c r="B5" s="26" t="s">
        <v>167</v>
      </c>
      <c r="C5" s="26" t="s">
        <v>101</v>
      </c>
      <c r="D5" s="26" t="s">
        <v>100</v>
      </c>
      <c r="E5" s="41">
        <f>=IFERROR(SUMPRODUCT((ISNUMBER(SEARCH($B5,KeDa!$B$4:$B$100)))*(LEFT(TRIM(KeDa!$E$3:$CE$3),LEN(TRIM(E$2)))=TRIM(E$2))*IFERROR(KeDa!$E$4:$CE$100,0)),0)+IFERROR(SUMPRODUCT((ISNUMBER(SEARCH($B5,Tank!$B$4:$B$100)))*(LEFT(TRIM(Tank!$E$3:$CE$3),LEN(TRIM(E$2)))=TRIM(E$2))*IFERROR(Tank!$E$4:$CE$100,0)),0)+IFERROR(SUMPRODUCT((ISNUMBER(SEARCH($B5,Richard!$B$4:$B$100)))*(LEFT(TRIM(Richard!$E$3:$CE$3),LEN(TRIM(E$2)))=TRIM(E$2))*IFERROR(Richard!$E$4:$CE$100,0)),0)+IFERROR(SUMPRODUCT((ISNUMBER(SEARCH($B5,Jenny!$B$4:$B$100)))*(LEFT(TRIM(Jenny!$E$3:$CE$3),LEN(TRIM(E$2)))=TRIM(E$2))*IFERROR(Jenny!$E$4:$CE$100,0)),0)+IFERROR(SUMPRODUCT((ISNUMBER(SEARCH($B5,Cooper!$B$4:$B$100)))*(LEFT(TRIM(Cooper!$E$3:$CE$3),LEN(TRIM(E$2)))=TRIM(E$2))*IFERROR(Cooper!$E$4:$CE$100,0)),0)+IFERROR(SUMPRODUCT((ISNUMBER(SEARCH($B5,Summer!$B$4:$B$100)))*(LEFT(TRIM(Summer!$E$3:$CE$3),LEN(TRIM(E$2)))=TRIM(E$2))*IFERROR(Summer!$E$4:$CE$100,0)),0)+IFERROR(SUMPRODUCT((ISNUMBER(SEARCH($B5,Julie!$B$4:$B$100)))*(LEFT(TRIM(Julie!$E$3:$CE$3),LEN(TRIM(E$2)))=TRIM(E$2))*IFERROR(Julie!$E$4:$CE$100,0)),0)+IFERROR(SUMPRODUCT((ISNUMBER(SEARCH($B5,Jiao!$B$4:$B$100)))*(LEFT(TRIM(Jiao!$E$3:$CE$3),LEN(TRIM(E$2)))=TRIM(E$2))*IFERROR(Jiao!$E$4:$CE$100,0)),0)</f>
      </c>
      <c r="F5" s="41">
        <f>=IFERROR(SUMPRODUCT((ISNUMBER(SEARCH($B5,KeDa!$B$4:$B$100)))*(LEFT(TRIM(KeDa!$E$3:$CE$3),LEN(TRIM(F$2)))=TRIM(F$2))*IFERROR(KeDa!$E$4:$CE$100,0)),0)+IFERROR(SUMPRODUCT((ISNUMBER(SEARCH($B5,Tank!$B$4:$B$100)))*(LEFT(TRIM(Tank!$E$3:$CE$3),LEN(TRIM(F$2)))=TRIM(F$2))*IFERROR(Tank!$E$4:$CE$100,0)),0)+IFERROR(SUMPRODUCT((ISNUMBER(SEARCH($B5,Richard!$B$4:$B$100)))*(LEFT(TRIM(Richard!$E$3:$CE$3),LEN(TRIM(F$2)))=TRIM(F$2))*IFERROR(Richard!$E$4:$CE$100,0)),0)+IFERROR(SUMPRODUCT((ISNUMBER(SEARCH($B5,Jenny!$B$4:$B$100)))*(LEFT(TRIM(Jenny!$E$3:$CE$3),LEN(TRIM(F$2)))=TRIM(F$2))*IFERROR(Jenny!$E$4:$CE$100,0)),0)+IFERROR(SUMPRODUCT((ISNUMBER(SEARCH($B5,Cooper!$B$4:$B$100)))*(LEFT(TRIM(Cooper!$E$3:$CE$3),LEN(TRIM(F$2)))=TRIM(F$2))*IFERROR(Cooper!$E$4:$CE$100,0)),0)+IFERROR(SUMPRODUCT((ISNUMBER(SEARCH($B5,Summer!$B$4:$B$100)))*(LEFT(TRIM(Summer!$E$3:$CE$3),LEN(TRIM(F$2)))=TRIM(F$2))*IFERROR(Summer!$E$4:$CE$100,0)),0)+IFERROR(SUMPRODUCT((ISNUMBER(SEARCH($B5,Julie!$B$4:$B$100)))*(LEFT(TRIM(Julie!$E$3:$CE$3),LEN(TRIM(F$2)))=TRIM(F$2))*IFERROR(Julie!$E$4:$CE$100,0)),0)+IFERROR(SUMPRODUCT((ISNUMBER(SEARCH($B5,Jiao!$B$4:$B$100)))*(LEFT(TRIM(Jiao!$E$3:$CE$3),LEN(TRIM(F$2)))=TRIM(F$2))*IFERROR(Jiao!$E$4:$CE$100,0)),0)</f>
      </c>
      <c r="G5" s="41">
        <f>=IFERROR(SUMPRODUCT((ISNUMBER(SEARCH($B5,KeDa!$B$4:$B$100)))*(LEFT(TRIM(KeDa!$E$3:$CE$3),LEN(TRIM(G$2)))=TRIM(G$2))*IFERROR(KeDa!$E$4:$CE$100,0)),0)+IFERROR(SUMPRODUCT((ISNUMBER(SEARCH($B5,Tank!$B$4:$B$100)))*(LEFT(TRIM(Tank!$E$3:$CE$3),LEN(TRIM(G$2)))=TRIM(G$2))*IFERROR(Tank!$E$4:$CE$100,0)),0)+IFERROR(SUMPRODUCT((ISNUMBER(SEARCH($B5,Richard!$B$4:$B$100)))*(LEFT(TRIM(Richard!$E$3:$CE$3),LEN(TRIM(G$2)))=TRIM(G$2))*IFERROR(Richard!$E$4:$CE$100,0)),0)+IFERROR(SUMPRODUCT((ISNUMBER(SEARCH($B5,Jenny!$B$4:$B$100)))*(LEFT(TRIM(Jenny!$E$3:$CE$3),LEN(TRIM(G$2)))=TRIM(G$2))*IFERROR(Jenny!$E$4:$CE$100,0)),0)+IFERROR(SUMPRODUCT((ISNUMBER(SEARCH($B5,Cooper!$B$4:$B$100)))*(LEFT(TRIM(Cooper!$E$3:$CE$3),LEN(TRIM(G$2)))=TRIM(G$2))*IFERROR(Cooper!$E$4:$CE$100,0)),0)+IFERROR(SUMPRODUCT((ISNUMBER(SEARCH($B5,Summer!$B$4:$B$100)))*(LEFT(TRIM(Summer!$E$3:$CE$3),LEN(TRIM(G$2)))=TRIM(G$2))*IFERROR(Summer!$E$4:$CE$100,0)),0)+IFERROR(SUMPRODUCT((ISNUMBER(SEARCH($B5,Julie!$B$4:$B$100)))*(LEFT(TRIM(Julie!$E$3:$CE$3),LEN(TRIM(G$2)))=TRIM(G$2))*IFERROR(Julie!$E$4:$CE$100,0)),0)+IFERROR(SUMPRODUCT((ISNUMBER(SEARCH($B5,Jiao!$B$4:$B$100)))*(LEFT(TRIM(Jiao!$E$3:$CE$3),LEN(TRIM(G$2)))=TRIM(G$2))*IFERROR(Jiao!$E$4:$CE$100,0)),0)</f>
      </c>
      <c r="H5" s="41">
        <f>=IFERROR(SUMPRODUCT((ISNUMBER(SEARCH($B5,KeDa!$B$4:$B$100)))*(LEFT(TRIM(KeDa!$E$3:$CE$3),LEN(TRIM(H$2)))=TRIM(H$2))*IFERROR(KeDa!$E$4:$CE$100,0)),0)+IFERROR(SUMPRODUCT((ISNUMBER(SEARCH($B5,Tank!$B$4:$B$100)))*(LEFT(TRIM(Tank!$E$3:$CE$3),LEN(TRIM(H$2)))=TRIM(H$2))*IFERROR(Tank!$E$4:$CE$100,0)),0)+IFERROR(SUMPRODUCT((ISNUMBER(SEARCH($B5,Richard!$B$4:$B$100)))*(LEFT(TRIM(Richard!$E$3:$CE$3),LEN(TRIM(H$2)))=TRIM(H$2))*IFERROR(Richard!$E$4:$CE$100,0)),0)+IFERROR(SUMPRODUCT((ISNUMBER(SEARCH($B5,Jenny!$B$4:$B$100)))*(LEFT(TRIM(Jenny!$E$3:$CE$3),LEN(TRIM(H$2)))=TRIM(H$2))*IFERROR(Jenny!$E$4:$CE$100,0)),0)+IFERROR(SUMPRODUCT((ISNUMBER(SEARCH($B5,Cooper!$B$4:$B$100)))*(LEFT(TRIM(Cooper!$E$3:$CE$3),LEN(TRIM(H$2)))=TRIM(H$2))*IFERROR(Cooper!$E$4:$CE$100,0)),0)+IFERROR(SUMPRODUCT((ISNUMBER(SEARCH($B5,Summer!$B$4:$B$100)))*(LEFT(TRIM(Summer!$E$3:$CE$3),LEN(TRIM(H$2)))=TRIM(H$2))*IFERROR(Summer!$E$4:$CE$100,0)),0)+IFERROR(SUMPRODUCT((ISNUMBER(SEARCH($B5,Julie!$B$4:$B$100)))*(LEFT(TRIM(Julie!$E$3:$CE$3),LEN(TRIM(H$2)))=TRIM(H$2))*IFERROR(Julie!$E$4:$CE$100,0)),0)+IFERROR(SUMPRODUCT((ISNUMBER(SEARCH($B5,Jiao!$B$4:$B$100)))*(LEFT(TRIM(Jiao!$E$3:$CE$3),LEN(TRIM(H$2)))=TRIM(H$2))*IFERROR(Jiao!$E$4:$CE$100,0)),0)</f>
      </c>
      <c r="I5" s="41">
        <f>=IFERROR(SUMPRODUCT((ISNUMBER(SEARCH($B5,KeDa!$B$4:$B$100)))*(LEFT(TRIM(KeDa!$E$3:$CE$3),LEN(TRIM(I$2)))=TRIM(I$2))*IFERROR(KeDa!$E$4:$CE$100,0)),0)+IFERROR(SUMPRODUCT((ISNUMBER(SEARCH($B5,Tank!$B$4:$B$100)))*(LEFT(TRIM(Tank!$E$3:$CE$3),LEN(TRIM(I$2)))=TRIM(I$2))*IFERROR(Tank!$E$4:$CE$100,0)),0)+IFERROR(SUMPRODUCT((ISNUMBER(SEARCH($B5,Richard!$B$4:$B$100)))*(LEFT(TRIM(Richard!$E$3:$CE$3),LEN(TRIM(I$2)))=TRIM(I$2))*IFERROR(Richard!$E$4:$CE$100,0)),0)+IFERROR(SUMPRODUCT((ISNUMBER(SEARCH($B5,Jenny!$B$4:$B$100)))*(LEFT(TRIM(Jenny!$E$3:$CE$3),LEN(TRIM(I$2)))=TRIM(I$2))*IFERROR(Jenny!$E$4:$CE$100,0)),0)+IFERROR(SUMPRODUCT((ISNUMBER(SEARCH($B5,Cooper!$B$4:$B$100)))*(LEFT(TRIM(Cooper!$E$3:$CE$3),LEN(TRIM(I$2)))=TRIM(I$2))*IFERROR(Cooper!$E$4:$CE$100,0)),0)+IFERROR(SUMPRODUCT((ISNUMBER(SEARCH($B5,Summer!$B$4:$B$100)))*(LEFT(TRIM(Summer!$E$3:$CE$3),LEN(TRIM(I$2)))=TRIM(I$2))*IFERROR(Summer!$E$4:$CE$100,0)),0)+IFERROR(SUMPRODUCT((ISNUMBER(SEARCH($B5,Julie!$B$4:$B$100)))*(LEFT(TRIM(Julie!$E$3:$CE$3),LEN(TRIM(I$2)))=TRIM(I$2))*IFERROR(Julie!$E$4:$CE$100,0)),0)+IFERROR(SUMPRODUCT((ISNUMBER(SEARCH($B5,Jiao!$B$4:$B$100)))*(LEFT(TRIM(Jiao!$E$3:$CE$3),LEN(TRIM(I$2)))=TRIM(I$2))*IFERROR(Jiao!$E$4:$CE$100,0)),0)</f>
      </c>
      <c r="J5" s="41">
        <f>=IFERROR(SUMPRODUCT((ISNUMBER(SEARCH($B5,KeDa!$B$4:$B$100)))*(LEFT(TRIM(KeDa!$E$3:$CE$3),LEN(TRIM(J$2)))=TRIM(J$2))*IFERROR(KeDa!$E$4:$CE$100,0)),0)+IFERROR(SUMPRODUCT((ISNUMBER(SEARCH($B5,Tank!$B$4:$B$100)))*(LEFT(TRIM(Tank!$E$3:$CE$3),LEN(TRIM(J$2)))=TRIM(J$2))*IFERROR(Tank!$E$4:$CE$100,0)),0)+IFERROR(SUMPRODUCT((ISNUMBER(SEARCH($B5,Richard!$B$4:$B$100)))*(LEFT(TRIM(Richard!$E$3:$CE$3),LEN(TRIM(J$2)))=TRIM(J$2))*IFERROR(Richard!$E$4:$CE$100,0)),0)+IFERROR(SUMPRODUCT((ISNUMBER(SEARCH($B5,Jenny!$B$4:$B$100)))*(LEFT(TRIM(Jenny!$E$3:$CE$3),LEN(TRIM(J$2)))=TRIM(J$2))*IFERROR(Jenny!$E$4:$CE$100,0)),0)+IFERROR(SUMPRODUCT((ISNUMBER(SEARCH($B5,Cooper!$B$4:$B$100)))*(LEFT(TRIM(Cooper!$E$3:$CE$3),LEN(TRIM(J$2)))=TRIM(J$2))*IFERROR(Cooper!$E$4:$CE$100,0)),0)+IFERROR(SUMPRODUCT((ISNUMBER(SEARCH($B5,Summer!$B$4:$B$100)))*(LEFT(TRIM(Summer!$E$3:$CE$3),LEN(TRIM(J$2)))=TRIM(J$2))*IFERROR(Summer!$E$4:$CE$100,0)),0)+IFERROR(SUMPRODUCT((ISNUMBER(SEARCH($B5,Julie!$B$4:$B$100)))*(LEFT(TRIM(Julie!$E$3:$CE$3),LEN(TRIM(J$2)))=TRIM(J$2))*IFERROR(Julie!$E$4:$CE$100,0)),0)+IFERROR(SUMPRODUCT((ISNUMBER(SEARCH($B5,Jiao!$B$4:$B$100)))*(LEFT(TRIM(Jiao!$E$3:$CE$3),LEN(TRIM(J$2)))=TRIM(J$2))*IFERROR(Jiao!$E$4:$CE$100,0)),0)</f>
      </c>
      <c r="K5" s="41">
        <f>=IFERROR(SUMPRODUCT((ISNUMBER(SEARCH($B5,KeDa!$B$4:$B$100)))*(LEFT(TRIM(KeDa!$E$3:$CE$3),LEN(TRIM(K$2)))=TRIM(K$2))*IFERROR(KeDa!$E$4:$CE$100,0)),0)+IFERROR(SUMPRODUCT((ISNUMBER(SEARCH($B5,Tank!$B$4:$B$100)))*(LEFT(TRIM(Tank!$E$3:$CE$3),LEN(TRIM(K$2)))=TRIM(K$2))*IFERROR(Tank!$E$4:$CE$100,0)),0)+IFERROR(SUMPRODUCT((ISNUMBER(SEARCH($B5,Richard!$B$4:$B$100)))*(LEFT(TRIM(Richard!$E$3:$CE$3),LEN(TRIM(K$2)))=TRIM(K$2))*IFERROR(Richard!$E$4:$CE$100,0)),0)+IFERROR(SUMPRODUCT((ISNUMBER(SEARCH($B5,Jenny!$B$4:$B$100)))*(LEFT(TRIM(Jenny!$E$3:$CE$3),LEN(TRIM(K$2)))=TRIM(K$2))*IFERROR(Jenny!$E$4:$CE$100,0)),0)+IFERROR(SUMPRODUCT((ISNUMBER(SEARCH($B5,Cooper!$B$4:$B$100)))*(LEFT(TRIM(Cooper!$E$3:$CE$3),LEN(TRIM(K$2)))=TRIM(K$2))*IFERROR(Cooper!$E$4:$CE$100,0)),0)+IFERROR(SUMPRODUCT((ISNUMBER(SEARCH($B5,Summer!$B$4:$B$100)))*(LEFT(TRIM(Summer!$E$3:$CE$3),LEN(TRIM(K$2)))=TRIM(K$2))*IFERROR(Summer!$E$4:$CE$100,0)),0)+IFERROR(SUMPRODUCT((ISNUMBER(SEARCH($B5,Julie!$B$4:$B$100)))*(LEFT(TRIM(Julie!$E$3:$CE$3),LEN(TRIM(K$2)))=TRIM(K$2))*IFERROR(Julie!$E$4:$CE$100,0)),0)+IFERROR(SUMPRODUCT((ISNUMBER(SEARCH($B5,Jiao!$B$4:$B$100)))*(LEFT(TRIM(Jiao!$E$3:$CE$3),LEN(TRIM(K$2)))=TRIM(K$2))*IFERROR(Jiao!$E$4:$CE$100,0)),0)</f>
      </c>
    </row>
    <row r="6" spans="1:11">
      <c r="A6" s="57">
        <v>4</v>
      </c>
      <c r="B6" s="26" t="s">
        <v>174</v>
      </c>
      <c r="C6" s="26" t="s">
        <v>104</v>
      </c>
      <c r="D6" s="26" t="s">
        <v>100</v>
      </c>
      <c r="E6" s="41">
        <f>=IFERROR(SUMPRODUCT((ISNUMBER(SEARCH($B6,KeDa!$B$4:$B$100)))*(LEFT(TRIM(KeDa!$E$3:$CE$3),LEN(TRIM(E$2)))=TRIM(E$2))*IFERROR(KeDa!$E$4:$CE$100,0)),0)+IFERROR(SUMPRODUCT((ISNUMBER(SEARCH($B6,Tank!$B$4:$B$100)))*(LEFT(TRIM(Tank!$E$3:$CE$3),LEN(TRIM(E$2)))=TRIM(E$2))*IFERROR(Tank!$E$4:$CE$100,0)),0)+IFERROR(SUMPRODUCT((ISNUMBER(SEARCH($B6,Richard!$B$4:$B$100)))*(LEFT(TRIM(Richard!$E$3:$CE$3),LEN(TRIM(E$2)))=TRIM(E$2))*IFERROR(Richard!$E$4:$CE$100,0)),0)+IFERROR(SUMPRODUCT((ISNUMBER(SEARCH($B6,Jenny!$B$4:$B$100)))*(LEFT(TRIM(Jenny!$E$3:$CE$3),LEN(TRIM(E$2)))=TRIM(E$2))*IFERROR(Jenny!$E$4:$CE$100,0)),0)+IFERROR(SUMPRODUCT((ISNUMBER(SEARCH($B6,Cooper!$B$4:$B$100)))*(LEFT(TRIM(Cooper!$E$3:$CE$3),LEN(TRIM(E$2)))=TRIM(E$2))*IFERROR(Cooper!$E$4:$CE$100,0)),0)+IFERROR(SUMPRODUCT((ISNUMBER(SEARCH($B6,Summer!$B$4:$B$100)))*(LEFT(TRIM(Summer!$E$3:$CE$3),LEN(TRIM(E$2)))=TRIM(E$2))*IFERROR(Summer!$E$4:$CE$100,0)),0)+IFERROR(SUMPRODUCT((ISNUMBER(SEARCH($B6,Julie!$B$4:$B$100)))*(LEFT(TRIM(Julie!$E$3:$CE$3),LEN(TRIM(E$2)))=TRIM(E$2))*IFERROR(Julie!$E$4:$CE$100,0)),0)+IFERROR(SUMPRODUCT((ISNUMBER(SEARCH($B6,Jiao!$B$4:$B$100)))*(LEFT(TRIM(Jiao!$E$3:$CE$3),LEN(TRIM(E$2)))=TRIM(E$2))*IFERROR(Jiao!$E$4:$CE$100,0)),0)</f>
      </c>
      <c r="F6" s="41">
        <f>=IFERROR(SUMPRODUCT((ISNUMBER(SEARCH($B6,KeDa!$B$4:$B$100)))*(LEFT(TRIM(KeDa!$E$3:$CE$3),LEN(TRIM(F$2)))=TRIM(F$2))*IFERROR(KeDa!$E$4:$CE$100,0)),0)+IFERROR(SUMPRODUCT((ISNUMBER(SEARCH($B6,Tank!$B$4:$B$100)))*(LEFT(TRIM(Tank!$E$3:$CE$3),LEN(TRIM(F$2)))=TRIM(F$2))*IFERROR(Tank!$E$4:$CE$100,0)),0)+IFERROR(SUMPRODUCT((ISNUMBER(SEARCH($B6,Richard!$B$4:$B$100)))*(LEFT(TRIM(Richard!$E$3:$CE$3),LEN(TRIM(F$2)))=TRIM(F$2))*IFERROR(Richard!$E$4:$CE$100,0)),0)+IFERROR(SUMPRODUCT((ISNUMBER(SEARCH($B6,Jenny!$B$4:$B$100)))*(LEFT(TRIM(Jenny!$E$3:$CE$3),LEN(TRIM(F$2)))=TRIM(F$2))*IFERROR(Jenny!$E$4:$CE$100,0)),0)+IFERROR(SUMPRODUCT((ISNUMBER(SEARCH($B6,Cooper!$B$4:$B$100)))*(LEFT(TRIM(Cooper!$E$3:$CE$3),LEN(TRIM(F$2)))=TRIM(F$2))*IFERROR(Cooper!$E$4:$CE$100,0)),0)+IFERROR(SUMPRODUCT((ISNUMBER(SEARCH($B6,Summer!$B$4:$B$100)))*(LEFT(TRIM(Summer!$E$3:$CE$3),LEN(TRIM(F$2)))=TRIM(F$2))*IFERROR(Summer!$E$4:$CE$100,0)),0)+IFERROR(SUMPRODUCT((ISNUMBER(SEARCH($B6,Julie!$B$4:$B$100)))*(LEFT(TRIM(Julie!$E$3:$CE$3),LEN(TRIM(F$2)))=TRIM(F$2))*IFERROR(Julie!$E$4:$CE$100,0)),0)+IFERROR(SUMPRODUCT((ISNUMBER(SEARCH($B6,Jiao!$B$4:$B$100)))*(LEFT(TRIM(Jiao!$E$3:$CE$3),LEN(TRIM(F$2)))=TRIM(F$2))*IFERROR(Jiao!$E$4:$CE$100,0)),0)</f>
      </c>
      <c r="G6" s="41">
        <f>=IFERROR(SUMPRODUCT((ISNUMBER(SEARCH($B6,KeDa!$B$4:$B$100)))*(LEFT(TRIM(KeDa!$E$3:$CE$3),LEN(TRIM(G$2)))=TRIM(G$2))*IFERROR(KeDa!$E$4:$CE$100,0)),0)+IFERROR(SUMPRODUCT((ISNUMBER(SEARCH($B6,Tank!$B$4:$B$100)))*(LEFT(TRIM(Tank!$E$3:$CE$3),LEN(TRIM(G$2)))=TRIM(G$2))*IFERROR(Tank!$E$4:$CE$100,0)),0)+IFERROR(SUMPRODUCT((ISNUMBER(SEARCH($B6,Richard!$B$4:$B$100)))*(LEFT(TRIM(Richard!$E$3:$CE$3),LEN(TRIM(G$2)))=TRIM(G$2))*IFERROR(Richard!$E$4:$CE$100,0)),0)+IFERROR(SUMPRODUCT((ISNUMBER(SEARCH($B6,Jenny!$B$4:$B$100)))*(LEFT(TRIM(Jenny!$E$3:$CE$3),LEN(TRIM(G$2)))=TRIM(G$2))*IFERROR(Jenny!$E$4:$CE$100,0)),0)+IFERROR(SUMPRODUCT((ISNUMBER(SEARCH($B6,Cooper!$B$4:$B$100)))*(LEFT(TRIM(Cooper!$E$3:$CE$3),LEN(TRIM(G$2)))=TRIM(G$2))*IFERROR(Cooper!$E$4:$CE$100,0)),0)+IFERROR(SUMPRODUCT((ISNUMBER(SEARCH($B6,Summer!$B$4:$B$100)))*(LEFT(TRIM(Summer!$E$3:$CE$3),LEN(TRIM(G$2)))=TRIM(G$2))*IFERROR(Summer!$E$4:$CE$100,0)),0)+IFERROR(SUMPRODUCT((ISNUMBER(SEARCH($B6,Julie!$B$4:$B$100)))*(LEFT(TRIM(Julie!$E$3:$CE$3),LEN(TRIM(G$2)))=TRIM(G$2))*IFERROR(Julie!$E$4:$CE$100,0)),0)+IFERROR(SUMPRODUCT((ISNUMBER(SEARCH($B6,Jiao!$B$4:$B$100)))*(LEFT(TRIM(Jiao!$E$3:$CE$3),LEN(TRIM(G$2)))=TRIM(G$2))*IFERROR(Jiao!$E$4:$CE$100,0)),0)</f>
      </c>
      <c r="H6" s="41">
        <f>=IFERROR(SUMPRODUCT((ISNUMBER(SEARCH($B6,KeDa!$B$4:$B$100)))*(LEFT(TRIM(KeDa!$E$3:$CE$3),LEN(TRIM(H$2)))=TRIM(H$2))*IFERROR(KeDa!$E$4:$CE$100,0)),0)+IFERROR(SUMPRODUCT((ISNUMBER(SEARCH($B6,Tank!$B$4:$B$100)))*(LEFT(TRIM(Tank!$E$3:$CE$3),LEN(TRIM(H$2)))=TRIM(H$2))*IFERROR(Tank!$E$4:$CE$100,0)),0)+IFERROR(SUMPRODUCT((ISNUMBER(SEARCH($B6,Richard!$B$4:$B$100)))*(LEFT(TRIM(Richard!$E$3:$CE$3),LEN(TRIM(H$2)))=TRIM(H$2))*IFERROR(Richard!$E$4:$CE$100,0)),0)+IFERROR(SUMPRODUCT((ISNUMBER(SEARCH($B6,Jenny!$B$4:$B$100)))*(LEFT(TRIM(Jenny!$E$3:$CE$3),LEN(TRIM(H$2)))=TRIM(H$2))*IFERROR(Jenny!$E$4:$CE$100,0)),0)+IFERROR(SUMPRODUCT((ISNUMBER(SEARCH($B6,Cooper!$B$4:$B$100)))*(LEFT(TRIM(Cooper!$E$3:$CE$3),LEN(TRIM(H$2)))=TRIM(H$2))*IFERROR(Cooper!$E$4:$CE$100,0)),0)+IFERROR(SUMPRODUCT((ISNUMBER(SEARCH($B6,Summer!$B$4:$B$100)))*(LEFT(TRIM(Summer!$E$3:$CE$3),LEN(TRIM(H$2)))=TRIM(H$2))*IFERROR(Summer!$E$4:$CE$100,0)),0)+IFERROR(SUMPRODUCT((ISNUMBER(SEARCH($B6,Julie!$B$4:$B$100)))*(LEFT(TRIM(Julie!$E$3:$CE$3),LEN(TRIM(H$2)))=TRIM(H$2))*IFERROR(Julie!$E$4:$CE$100,0)),0)+IFERROR(SUMPRODUCT((ISNUMBER(SEARCH($B6,Jiao!$B$4:$B$100)))*(LEFT(TRIM(Jiao!$E$3:$CE$3),LEN(TRIM(H$2)))=TRIM(H$2))*IFERROR(Jiao!$E$4:$CE$100,0)),0)</f>
      </c>
      <c r="I6" s="41">
        <f>=IFERROR(SUMPRODUCT((ISNUMBER(SEARCH($B6,KeDa!$B$4:$B$100)))*(LEFT(TRIM(KeDa!$E$3:$CE$3),LEN(TRIM(I$2)))=TRIM(I$2))*IFERROR(KeDa!$E$4:$CE$100,0)),0)+IFERROR(SUMPRODUCT((ISNUMBER(SEARCH($B6,Tank!$B$4:$B$100)))*(LEFT(TRIM(Tank!$E$3:$CE$3),LEN(TRIM(I$2)))=TRIM(I$2))*IFERROR(Tank!$E$4:$CE$100,0)),0)+IFERROR(SUMPRODUCT((ISNUMBER(SEARCH($B6,Richard!$B$4:$B$100)))*(LEFT(TRIM(Richard!$E$3:$CE$3),LEN(TRIM(I$2)))=TRIM(I$2))*IFERROR(Richard!$E$4:$CE$100,0)),0)+IFERROR(SUMPRODUCT((ISNUMBER(SEARCH($B6,Jenny!$B$4:$B$100)))*(LEFT(TRIM(Jenny!$E$3:$CE$3),LEN(TRIM(I$2)))=TRIM(I$2))*IFERROR(Jenny!$E$4:$CE$100,0)),0)+IFERROR(SUMPRODUCT((ISNUMBER(SEARCH($B6,Cooper!$B$4:$B$100)))*(LEFT(TRIM(Cooper!$E$3:$CE$3),LEN(TRIM(I$2)))=TRIM(I$2))*IFERROR(Cooper!$E$4:$CE$100,0)),0)+IFERROR(SUMPRODUCT((ISNUMBER(SEARCH($B6,Summer!$B$4:$B$100)))*(LEFT(TRIM(Summer!$E$3:$CE$3),LEN(TRIM(I$2)))=TRIM(I$2))*IFERROR(Summer!$E$4:$CE$100,0)),0)+IFERROR(SUMPRODUCT((ISNUMBER(SEARCH($B6,Julie!$B$4:$B$100)))*(LEFT(TRIM(Julie!$E$3:$CE$3),LEN(TRIM(I$2)))=TRIM(I$2))*IFERROR(Julie!$E$4:$CE$100,0)),0)+IFERROR(SUMPRODUCT((ISNUMBER(SEARCH($B6,Jiao!$B$4:$B$100)))*(LEFT(TRIM(Jiao!$E$3:$CE$3),LEN(TRIM(I$2)))=TRIM(I$2))*IFERROR(Jiao!$E$4:$CE$100,0)),0)</f>
      </c>
      <c r="J6" s="41">
        <f>=IFERROR(SUMPRODUCT((ISNUMBER(SEARCH($B6,KeDa!$B$4:$B$100)))*(LEFT(TRIM(KeDa!$E$3:$CE$3),LEN(TRIM(J$2)))=TRIM(J$2))*IFERROR(KeDa!$E$4:$CE$100,0)),0)+IFERROR(SUMPRODUCT((ISNUMBER(SEARCH($B6,Tank!$B$4:$B$100)))*(LEFT(TRIM(Tank!$E$3:$CE$3),LEN(TRIM(J$2)))=TRIM(J$2))*IFERROR(Tank!$E$4:$CE$100,0)),0)+IFERROR(SUMPRODUCT((ISNUMBER(SEARCH($B6,Richard!$B$4:$B$100)))*(LEFT(TRIM(Richard!$E$3:$CE$3),LEN(TRIM(J$2)))=TRIM(J$2))*IFERROR(Richard!$E$4:$CE$100,0)),0)+IFERROR(SUMPRODUCT((ISNUMBER(SEARCH($B6,Jenny!$B$4:$B$100)))*(LEFT(TRIM(Jenny!$E$3:$CE$3),LEN(TRIM(J$2)))=TRIM(J$2))*IFERROR(Jenny!$E$4:$CE$100,0)),0)+IFERROR(SUMPRODUCT((ISNUMBER(SEARCH($B6,Cooper!$B$4:$B$100)))*(LEFT(TRIM(Cooper!$E$3:$CE$3),LEN(TRIM(J$2)))=TRIM(J$2))*IFERROR(Cooper!$E$4:$CE$100,0)),0)+IFERROR(SUMPRODUCT((ISNUMBER(SEARCH($B6,Summer!$B$4:$B$100)))*(LEFT(TRIM(Summer!$E$3:$CE$3),LEN(TRIM(J$2)))=TRIM(J$2))*IFERROR(Summer!$E$4:$CE$100,0)),0)+IFERROR(SUMPRODUCT((ISNUMBER(SEARCH($B6,Julie!$B$4:$B$100)))*(LEFT(TRIM(Julie!$E$3:$CE$3),LEN(TRIM(J$2)))=TRIM(J$2))*IFERROR(Julie!$E$4:$CE$100,0)),0)+IFERROR(SUMPRODUCT((ISNUMBER(SEARCH($B6,Jiao!$B$4:$B$100)))*(LEFT(TRIM(Jiao!$E$3:$CE$3),LEN(TRIM(J$2)))=TRIM(J$2))*IFERROR(Jiao!$E$4:$CE$100,0)),0)</f>
      </c>
      <c r="K6" s="41">
        <f>=IFERROR(SUMPRODUCT((ISNUMBER(SEARCH($B6,KeDa!$B$4:$B$100)))*(LEFT(TRIM(KeDa!$E$3:$CE$3),LEN(TRIM(K$2)))=TRIM(K$2))*IFERROR(KeDa!$E$4:$CE$100,0)),0)+IFERROR(SUMPRODUCT((ISNUMBER(SEARCH($B6,Tank!$B$4:$B$100)))*(LEFT(TRIM(Tank!$E$3:$CE$3),LEN(TRIM(K$2)))=TRIM(K$2))*IFERROR(Tank!$E$4:$CE$100,0)),0)+IFERROR(SUMPRODUCT((ISNUMBER(SEARCH($B6,Richard!$B$4:$B$100)))*(LEFT(TRIM(Richard!$E$3:$CE$3),LEN(TRIM(K$2)))=TRIM(K$2))*IFERROR(Richard!$E$4:$CE$100,0)),0)+IFERROR(SUMPRODUCT((ISNUMBER(SEARCH($B6,Jenny!$B$4:$B$100)))*(LEFT(TRIM(Jenny!$E$3:$CE$3),LEN(TRIM(K$2)))=TRIM(K$2))*IFERROR(Jenny!$E$4:$CE$100,0)),0)+IFERROR(SUMPRODUCT((ISNUMBER(SEARCH($B6,Cooper!$B$4:$B$100)))*(LEFT(TRIM(Cooper!$E$3:$CE$3),LEN(TRIM(K$2)))=TRIM(K$2))*IFERROR(Cooper!$E$4:$CE$100,0)),0)+IFERROR(SUMPRODUCT((ISNUMBER(SEARCH($B6,Summer!$B$4:$B$100)))*(LEFT(TRIM(Summer!$E$3:$CE$3),LEN(TRIM(K$2)))=TRIM(K$2))*IFERROR(Summer!$E$4:$CE$100,0)),0)+IFERROR(SUMPRODUCT((ISNUMBER(SEARCH($B6,Julie!$B$4:$B$100)))*(LEFT(TRIM(Julie!$E$3:$CE$3),LEN(TRIM(K$2)))=TRIM(K$2))*IFERROR(Julie!$E$4:$CE$100,0)),0)+IFERROR(SUMPRODUCT((ISNUMBER(SEARCH($B6,Jiao!$B$4:$B$100)))*(LEFT(TRIM(Jiao!$E$3:$CE$3),LEN(TRIM(K$2)))=TRIM(K$2))*IFERROR(Jiao!$E$4:$CE$100,0)),0)</f>
      </c>
    </row>
    <row r="7" spans="1:11">
      <c r="A7" s="57">
        <v>5</v>
      </c>
      <c r="B7" s="26" t="s">
        <v>175</v>
      </c>
      <c r="C7" s="26" t="s">
        <v>104</v>
      </c>
      <c r="D7" s="26" t="s">
        <v>100</v>
      </c>
      <c r="E7" s="41">
        <f>=IFERROR(SUMPRODUCT((ISNUMBER(SEARCH($B7,KeDa!$B$4:$B$100)))*(LEFT(TRIM(KeDa!$E$3:$CE$3),LEN(TRIM(E$2)))=TRIM(E$2))*IFERROR(KeDa!$E$4:$CE$100,0)),0)+IFERROR(SUMPRODUCT((ISNUMBER(SEARCH($B7,Tank!$B$4:$B$100)))*(LEFT(TRIM(Tank!$E$3:$CE$3),LEN(TRIM(E$2)))=TRIM(E$2))*IFERROR(Tank!$E$4:$CE$100,0)),0)+IFERROR(SUMPRODUCT((ISNUMBER(SEARCH($B7,Richard!$B$4:$B$100)))*(LEFT(TRIM(Richard!$E$3:$CE$3),LEN(TRIM(E$2)))=TRIM(E$2))*IFERROR(Richard!$E$4:$CE$100,0)),0)+IFERROR(SUMPRODUCT((ISNUMBER(SEARCH($B7,Jenny!$B$4:$B$100)))*(LEFT(TRIM(Jenny!$E$3:$CE$3),LEN(TRIM(E$2)))=TRIM(E$2))*IFERROR(Jenny!$E$4:$CE$100,0)),0)+IFERROR(SUMPRODUCT((ISNUMBER(SEARCH($B7,Cooper!$B$4:$B$100)))*(LEFT(TRIM(Cooper!$E$3:$CE$3),LEN(TRIM(E$2)))=TRIM(E$2))*IFERROR(Cooper!$E$4:$CE$100,0)),0)+IFERROR(SUMPRODUCT((ISNUMBER(SEARCH($B7,Summer!$B$4:$B$100)))*(LEFT(TRIM(Summer!$E$3:$CE$3),LEN(TRIM(E$2)))=TRIM(E$2))*IFERROR(Summer!$E$4:$CE$100,0)),0)+IFERROR(SUMPRODUCT((ISNUMBER(SEARCH($B7,Julie!$B$4:$B$100)))*(LEFT(TRIM(Julie!$E$3:$CE$3),LEN(TRIM(E$2)))=TRIM(E$2))*IFERROR(Julie!$E$4:$CE$100,0)),0)+IFERROR(SUMPRODUCT((ISNUMBER(SEARCH($B7,Jiao!$B$4:$B$100)))*(LEFT(TRIM(Jiao!$E$3:$CE$3),LEN(TRIM(E$2)))=TRIM(E$2))*IFERROR(Jiao!$E$4:$CE$100,0)),0)</f>
      </c>
      <c r="F7" s="41">
        <f>=IFERROR(SUMPRODUCT((ISNUMBER(SEARCH($B7,KeDa!$B$4:$B$100)))*(LEFT(TRIM(KeDa!$E$3:$CE$3),LEN(TRIM(F$2)))=TRIM(F$2))*IFERROR(KeDa!$E$4:$CE$100,0)),0)+IFERROR(SUMPRODUCT((ISNUMBER(SEARCH($B7,Tank!$B$4:$B$100)))*(LEFT(TRIM(Tank!$E$3:$CE$3),LEN(TRIM(F$2)))=TRIM(F$2))*IFERROR(Tank!$E$4:$CE$100,0)),0)+IFERROR(SUMPRODUCT((ISNUMBER(SEARCH($B7,Richard!$B$4:$B$100)))*(LEFT(TRIM(Richard!$E$3:$CE$3),LEN(TRIM(F$2)))=TRIM(F$2))*IFERROR(Richard!$E$4:$CE$100,0)),0)+IFERROR(SUMPRODUCT((ISNUMBER(SEARCH($B7,Jenny!$B$4:$B$100)))*(LEFT(TRIM(Jenny!$E$3:$CE$3),LEN(TRIM(F$2)))=TRIM(F$2))*IFERROR(Jenny!$E$4:$CE$100,0)),0)+IFERROR(SUMPRODUCT((ISNUMBER(SEARCH($B7,Cooper!$B$4:$B$100)))*(LEFT(TRIM(Cooper!$E$3:$CE$3),LEN(TRIM(F$2)))=TRIM(F$2))*IFERROR(Cooper!$E$4:$CE$100,0)),0)+IFERROR(SUMPRODUCT((ISNUMBER(SEARCH($B7,Summer!$B$4:$B$100)))*(LEFT(TRIM(Summer!$E$3:$CE$3),LEN(TRIM(F$2)))=TRIM(F$2))*IFERROR(Summer!$E$4:$CE$100,0)),0)+IFERROR(SUMPRODUCT((ISNUMBER(SEARCH($B7,Julie!$B$4:$B$100)))*(LEFT(TRIM(Julie!$E$3:$CE$3),LEN(TRIM(F$2)))=TRIM(F$2))*IFERROR(Julie!$E$4:$CE$100,0)),0)+IFERROR(SUMPRODUCT((ISNUMBER(SEARCH($B7,Jiao!$B$4:$B$100)))*(LEFT(TRIM(Jiao!$E$3:$CE$3),LEN(TRIM(F$2)))=TRIM(F$2))*IFERROR(Jiao!$E$4:$CE$100,0)),0)</f>
      </c>
      <c r="G7" s="41">
        <f>=IFERROR(SUMPRODUCT((ISNUMBER(SEARCH($B7,KeDa!$B$4:$B$100)))*(LEFT(TRIM(KeDa!$E$3:$CE$3),LEN(TRIM(G$2)))=TRIM(G$2))*IFERROR(KeDa!$E$4:$CE$100,0)),0)+IFERROR(SUMPRODUCT((ISNUMBER(SEARCH($B7,Tank!$B$4:$B$100)))*(LEFT(TRIM(Tank!$E$3:$CE$3),LEN(TRIM(G$2)))=TRIM(G$2))*IFERROR(Tank!$E$4:$CE$100,0)),0)+IFERROR(SUMPRODUCT((ISNUMBER(SEARCH($B7,Richard!$B$4:$B$100)))*(LEFT(TRIM(Richard!$E$3:$CE$3),LEN(TRIM(G$2)))=TRIM(G$2))*IFERROR(Richard!$E$4:$CE$100,0)),0)+IFERROR(SUMPRODUCT((ISNUMBER(SEARCH($B7,Jenny!$B$4:$B$100)))*(LEFT(TRIM(Jenny!$E$3:$CE$3),LEN(TRIM(G$2)))=TRIM(G$2))*IFERROR(Jenny!$E$4:$CE$100,0)),0)+IFERROR(SUMPRODUCT((ISNUMBER(SEARCH($B7,Cooper!$B$4:$B$100)))*(LEFT(TRIM(Cooper!$E$3:$CE$3),LEN(TRIM(G$2)))=TRIM(G$2))*IFERROR(Cooper!$E$4:$CE$100,0)),0)+IFERROR(SUMPRODUCT((ISNUMBER(SEARCH($B7,Summer!$B$4:$B$100)))*(LEFT(TRIM(Summer!$E$3:$CE$3),LEN(TRIM(G$2)))=TRIM(G$2))*IFERROR(Summer!$E$4:$CE$100,0)),0)+IFERROR(SUMPRODUCT((ISNUMBER(SEARCH($B7,Julie!$B$4:$B$100)))*(LEFT(TRIM(Julie!$E$3:$CE$3),LEN(TRIM(G$2)))=TRIM(G$2))*IFERROR(Julie!$E$4:$CE$100,0)),0)+IFERROR(SUMPRODUCT((ISNUMBER(SEARCH($B7,Jiao!$B$4:$B$100)))*(LEFT(TRIM(Jiao!$E$3:$CE$3),LEN(TRIM(G$2)))=TRIM(G$2))*IFERROR(Jiao!$E$4:$CE$100,0)),0)</f>
      </c>
      <c r="H7" s="41">
        <f>=IFERROR(SUMPRODUCT((ISNUMBER(SEARCH($B7,KeDa!$B$4:$B$100)))*(LEFT(TRIM(KeDa!$E$3:$CE$3),LEN(TRIM(H$2)))=TRIM(H$2))*IFERROR(KeDa!$E$4:$CE$100,0)),0)+IFERROR(SUMPRODUCT((ISNUMBER(SEARCH($B7,Tank!$B$4:$B$100)))*(LEFT(TRIM(Tank!$E$3:$CE$3),LEN(TRIM(H$2)))=TRIM(H$2))*IFERROR(Tank!$E$4:$CE$100,0)),0)+IFERROR(SUMPRODUCT((ISNUMBER(SEARCH($B7,Richard!$B$4:$B$100)))*(LEFT(TRIM(Richard!$E$3:$CE$3),LEN(TRIM(H$2)))=TRIM(H$2))*IFERROR(Richard!$E$4:$CE$100,0)),0)+IFERROR(SUMPRODUCT((ISNUMBER(SEARCH($B7,Jenny!$B$4:$B$100)))*(LEFT(TRIM(Jenny!$E$3:$CE$3),LEN(TRIM(H$2)))=TRIM(H$2))*IFERROR(Jenny!$E$4:$CE$100,0)),0)+IFERROR(SUMPRODUCT((ISNUMBER(SEARCH($B7,Cooper!$B$4:$B$100)))*(LEFT(TRIM(Cooper!$E$3:$CE$3),LEN(TRIM(H$2)))=TRIM(H$2))*IFERROR(Cooper!$E$4:$CE$100,0)),0)+IFERROR(SUMPRODUCT((ISNUMBER(SEARCH($B7,Summer!$B$4:$B$100)))*(LEFT(TRIM(Summer!$E$3:$CE$3),LEN(TRIM(H$2)))=TRIM(H$2))*IFERROR(Summer!$E$4:$CE$100,0)),0)+IFERROR(SUMPRODUCT((ISNUMBER(SEARCH($B7,Julie!$B$4:$B$100)))*(LEFT(TRIM(Julie!$E$3:$CE$3),LEN(TRIM(H$2)))=TRIM(H$2))*IFERROR(Julie!$E$4:$CE$100,0)),0)+IFERROR(SUMPRODUCT((ISNUMBER(SEARCH($B7,Jiao!$B$4:$B$100)))*(LEFT(TRIM(Jiao!$E$3:$CE$3),LEN(TRIM(H$2)))=TRIM(H$2))*IFERROR(Jiao!$E$4:$CE$100,0)),0)</f>
      </c>
      <c r="I7" s="41">
        <f>=IFERROR(SUMPRODUCT((ISNUMBER(SEARCH($B7,KeDa!$B$4:$B$100)))*(LEFT(TRIM(KeDa!$E$3:$CE$3),LEN(TRIM(I$2)))=TRIM(I$2))*IFERROR(KeDa!$E$4:$CE$100,0)),0)+IFERROR(SUMPRODUCT((ISNUMBER(SEARCH($B7,Tank!$B$4:$B$100)))*(LEFT(TRIM(Tank!$E$3:$CE$3),LEN(TRIM(I$2)))=TRIM(I$2))*IFERROR(Tank!$E$4:$CE$100,0)),0)+IFERROR(SUMPRODUCT((ISNUMBER(SEARCH($B7,Richard!$B$4:$B$100)))*(LEFT(TRIM(Richard!$E$3:$CE$3),LEN(TRIM(I$2)))=TRIM(I$2))*IFERROR(Richard!$E$4:$CE$100,0)),0)+IFERROR(SUMPRODUCT((ISNUMBER(SEARCH($B7,Jenny!$B$4:$B$100)))*(LEFT(TRIM(Jenny!$E$3:$CE$3),LEN(TRIM(I$2)))=TRIM(I$2))*IFERROR(Jenny!$E$4:$CE$100,0)),0)+IFERROR(SUMPRODUCT((ISNUMBER(SEARCH($B7,Cooper!$B$4:$B$100)))*(LEFT(TRIM(Cooper!$E$3:$CE$3),LEN(TRIM(I$2)))=TRIM(I$2))*IFERROR(Cooper!$E$4:$CE$100,0)),0)+IFERROR(SUMPRODUCT((ISNUMBER(SEARCH($B7,Summer!$B$4:$B$100)))*(LEFT(TRIM(Summer!$E$3:$CE$3),LEN(TRIM(I$2)))=TRIM(I$2))*IFERROR(Summer!$E$4:$CE$100,0)),0)+IFERROR(SUMPRODUCT((ISNUMBER(SEARCH($B7,Julie!$B$4:$B$100)))*(LEFT(TRIM(Julie!$E$3:$CE$3),LEN(TRIM(I$2)))=TRIM(I$2))*IFERROR(Julie!$E$4:$CE$100,0)),0)+IFERROR(SUMPRODUCT((ISNUMBER(SEARCH($B7,Jiao!$B$4:$B$100)))*(LEFT(TRIM(Jiao!$E$3:$CE$3),LEN(TRIM(I$2)))=TRIM(I$2))*IFERROR(Jiao!$E$4:$CE$100,0)),0)</f>
      </c>
      <c r="J7" s="41">
        <f>=IFERROR(SUMPRODUCT((ISNUMBER(SEARCH($B7,KeDa!$B$4:$B$100)))*(LEFT(TRIM(KeDa!$E$3:$CE$3),LEN(TRIM(J$2)))=TRIM(J$2))*IFERROR(KeDa!$E$4:$CE$100,0)),0)+IFERROR(SUMPRODUCT((ISNUMBER(SEARCH($B7,Tank!$B$4:$B$100)))*(LEFT(TRIM(Tank!$E$3:$CE$3),LEN(TRIM(J$2)))=TRIM(J$2))*IFERROR(Tank!$E$4:$CE$100,0)),0)+IFERROR(SUMPRODUCT((ISNUMBER(SEARCH($B7,Richard!$B$4:$B$100)))*(LEFT(TRIM(Richard!$E$3:$CE$3),LEN(TRIM(J$2)))=TRIM(J$2))*IFERROR(Richard!$E$4:$CE$100,0)),0)+IFERROR(SUMPRODUCT((ISNUMBER(SEARCH($B7,Jenny!$B$4:$B$100)))*(LEFT(TRIM(Jenny!$E$3:$CE$3),LEN(TRIM(J$2)))=TRIM(J$2))*IFERROR(Jenny!$E$4:$CE$100,0)),0)+IFERROR(SUMPRODUCT((ISNUMBER(SEARCH($B7,Cooper!$B$4:$B$100)))*(LEFT(TRIM(Cooper!$E$3:$CE$3),LEN(TRIM(J$2)))=TRIM(J$2))*IFERROR(Cooper!$E$4:$CE$100,0)),0)+IFERROR(SUMPRODUCT((ISNUMBER(SEARCH($B7,Summer!$B$4:$B$100)))*(LEFT(TRIM(Summer!$E$3:$CE$3),LEN(TRIM(J$2)))=TRIM(J$2))*IFERROR(Summer!$E$4:$CE$100,0)),0)+IFERROR(SUMPRODUCT((ISNUMBER(SEARCH($B7,Julie!$B$4:$B$100)))*(LEFT(TRIM(Julie!$E$3:$CE$3),LEN(TRIM(J$2)))=TRIM(J$2))*IFERROR(Julie!$E$4:$CE$100,0)),0)+IFERROR(SUMPRODUCT((ISNUMBER(SEARCH($B7,Jiao!$B$4:$B$100)))*(LEFT(TRIM(Jiao!$E$3:$CE$3),LEN(TRIM(J$2)))=TRIM(J$2))*IFERROR(Jiao!$E$4:$CE$100,0)),0)</f>
      </c>
      <c r="K7" s="41">
        <f>=IFERROR(SUMPRODUCT((ISNUMBER(SEARCH($B7,KeDa!$B$4:$B$100)))*(LEFT(TRIM(KeDa!$E$3:$CE$3),LEN(TRIM(K$2)))=TRIM(K$2))*IFERROR(KeDa!$E$4:$CE$100,0)),0)+IFERROR(SUMPRODUCT((ISNUMBER(SEARCH($B7,Tank!$B$4:$B$100)))*(LEFT(TRIM(Tank!$E$3:$CE$3),LEN(TRIM(K$2)))=TRIM(K$2))*IFERROR(Tank!$E$4:$CE$100,0)),0)+IFERROR(SUMPRODUCT((ISNUMBER(SEARCH($B7,Richard!$B$4:$B$100)))*(LEFT(TRIM(Richard!$E$3:$CE$3),LEN(TRIM(K$2)))=TRIM(K$2))*IFERROR(Richard!$E$4:$CE$100,0)),0)+IFERROR(SUMPRODUCT((ISNUMBER(SEARCH($B7,Jenny!$B$4:$B$100)))*(LEFT(TRIM(Jenny!$E$3:$CE$3),LEN(TRIM(K$2)))=TRIM(K$2))*IFERROR(Jenny!$E$4:$CE$100,0)),0)+IFERROR(SUMPRODUCT((ISNUMBER(SEARCH($B7,Cooper!$B$4:$B$100)))*(LEFT(TRIM(Cooper!$E$3:$CE$3),LEN(TRIM(K$2)))=TRIM(K$2))*IFERROR(Cooper!$E$4:$CE$100,0)),0)+IFERROR(SUMPRODUCT((ISNUMBER(SEARCH($B7,Summer!$B$4:$B$100)))*(LEFT(TRIM(Summer!$E$3:$CE$3),LEN(TRIM(K$2)))=TRIM(K$2))*IFERROR(Summer!$E$4:$CE$100,0)),0)+IFERROR(SUMPRODUCT((ISNUMBER(SEARCH($B7,Julie!$B$4:$B$100)))*(LEFT(TRIM(Julie!$E$3:$CE$3),LEN(TRIM(K$2)))=TRIM(K$2))*IFERROR(Julie!$E$4:$CE$100,0)),0)+IFERROR(SUMPRODUCT((ISNUMBER(SEARCH($B7,Jiao!$B$4:$B$100)))*(LEFT(TRIM(Jiao!$E$3:$CE$3),LEN(TRIM(K$2)))=TRIM(K$2))*IFERROR(Jiao!$E$4:$CE$100,0)),0)</f>
      </c>
    </row>
    <row r="8" spans="1:11">
      <c r="A8" s="57">
        <v>6</v>
      </c>
      <c r="B8" s="26" t="s">
        <v>180</v>
      </c>
      <c r="C8" s="26" t="s">
        <v>106</v>
      </c>
      <c r="D8" s="26" t="s">
        <v>100</v>
      </c>
      <c r="E8" s="41">
        <f>=IFERROR(SUMPRODUCT((ISNUMBER(SEARCH($B8,KeDa!$B$4:$B$100)))*(LEFT(TRIM(KeDa!$E$3:$CE$3),LEN(TRIM(E$2)))=TRIM(E$2))*IFERROR(KeDa!$E$4:$CE$100,0)),0)+IFERROR(SUMPRODUCT((ISNUMBER(SEARCH($B8,Tank!$B$4:$B$100)))*(LEFT(TRIM(Tank!$E$3:$CE$3),LEN(TRIM(E$2)))=TRIM(E$2))*IFERROR(Tank!$E$4:$CE$100,0)),0)+IFERROR(SUMPRODUCT((ISNUMBER(SEARCH($B8,Richard!$B$4:$B$100)))*(LEFT(TRIM(Richard!$E$3:$CE$3),LEN(TRIM(E$2)))=TRIM(E$2))*IFERROR(Richard!$E$4:$CE$100,0)),0)+IFERROR(SUMPRODUCT((ISNUMBER(SEARCH($B8,Jenny!$B$4:$B$100)))*(LEFT(TRIM(Jenny!$E$3:$CE$3),LEN(TRIM(E$2)))=TRIM(E$2))*IFERROR(Jenny!$E$4:$CE$100,0)),0)+IFERROR(SUMPRODUCT((ISNUMBER(SEARCH($B8,Cooper!$B$4:$B$100)))*(LEFT(TRIM(Cooper!$E$3:$CE$3),LEN(TRIM(E$2)))=TRIM(E$2))*IFERROR(Cooper!$E$4:$CE$100,0)),0)+IFERROR(SUMPRODUCT((ISNUMBER(SEARCH($B8,Summer!$B$4:$B$100)))*(LEFT(TRIM(Summer!$E$3:$CE$3),LEN(TRIM(E$2)))=TRIM(E$2))*IFERROR(Summer!$E$4:$CE$100,0)),0)+IFERROR(SUMPRODUCT((ISNUMBER(SEARCH($B8,Julie!$B$4:$B$100)))*(LEFT(TRIM(Julie!$E$3:$CE$3),LEN(TRIM(E$2)))=TRIM(E$2))*IFERROR(Julie!$E$4:$CE$100,0)),0)+IFERROR(SUMPRODUCT((ISNUMBER(SEARCH($B8,Jiao!$B$4:$B$100)))*(LEFT(TRIM(Jiao!$E$3:$CE$3),LEN(TRIM(E$2)))=TRIM(E$2))*IFERROR(Jiao!$E$4:$CE$100,0)),0)</f>
      </c>
      <c r="F8" s="41">
        <f>=IFERROR(SUMPRODUCT((ISNUMBER(SEARCH($B8,KeDa!$B$4:$B$100)))*(LEFT(TRIM(KeDa!$E$3:$CE$3),LEN(TRIM(F$2)))=TRIM(F$2))*IFERROR(KeDa!$E$4:$CE$100,0)),0)+IFERROR(SUMPRODUCT((ISNUMBER(SEARCH($B8,Tank!$B$4:$B$100)))*(LEFT(TRIM(Tank!$E$3:$CE$3),LEN(TRIM(F$2)))=TRIM(F$2))*IFERROR(Tank!$E$4:$CE$100,0)),0)+IFERROR(SUMPRODUCT((ISNUMBER(SEARCH($B8,Richard!$B$4:$B$100)))*(LEFT(TRIM(Richard!$E$3:$CE$3),LEN(TRIM(F$2)))=TRIM(F$2))*IFERROR(Richard!$E$4:$CE$100,0)),0)+IFERROR(SUMPRODUCT((ISNUMBER(SEARCH($B8,Jenny!$B$4:$B$100)))*(LEFT(TRIM(Jenny!$E$3:$CE$3),LEN(TRIM(F$2)))=TRIM(F$2))*IFERROR(Jenny!$E$4:$CE$100,0)),0)+IFERROR(SUMPRODUCT((ISNUMBER(SEARCH($B8,Cooper!$B$4:$B$100)))*(LEFT(TRIM(Cooper!$E$3:$CE$3),LEN(TRIM(F$2)))=TRIM(F$2))*IFERROR(Cooper!$E$4:$CE$100,0)),0)+IFERROR(SUMPRODUCT((ISNUMBER(SEARCH($B8,Summer!$B$4:$B$100)))*(LEFT(TRIM(Summer!$E$3:$CE$3),LEN(TRIM(F$2)))=TRIM(F$2))*IFERROR(Summer!$E$4:$CE$100,0)),0)+IFERROR(SUMPRODUCT((ISNUMBER(SEARCH($B8,Julie!$B$4:$B$100)))*(LEFT(TRIM(Julie!$E$3:$CE$3),LEN(TRIM(F$2)))=TRIM(F$2))*IFERROR(Julie!$E$4:$CE$100,0)),0)+IFERROR(SUMPRODUCT((ISNUMBER(SEARCH($B8,Jiao!$B$4:$B$100)))*(LEFT(TRIM(Jiao!$E$3:$CE$3),LEN(TRIM(F$2)))=TRIM(F$2))*IFERROR(Jiao!$E$4:$CE$100,0)),0)</f>
      </c>
      <c r="G8" s="41">
        <f>=IFERROR(SUMPRODUCT((ISNUMBER(SEARCH($B8,KeDa!$B$4:$B$100)))*(LEFT(TRIM(KeDa!$E$3:$CE$3),LEN(TRIM(G$2)))=TRIM(G$2))*IFERROR(KeDa!$E$4:$CE$100,0)),0)+IFERROR(SUMPRODUCT((ISNUMBER(SEARCH($B8,Tank!$B$4:$B$100)))*(LEFT(TRIM(Tank!$E$3:$CE$3),LEN(TRIM(G$2)))=TRIM(G$2))*IFERROR(Tank!$E$4:$CE$100,0)),0)+IFERROR(SUMPRODUCT((ISNUMBER(SEARCH($B8,Richard!$B$4:$B$100)))*(LEFT(TRIM(Richard!$E$3:$CE$3),LEN(TRIM(G$2)))=TRIM(G$2))*IFERROR(Richard!$E$4:$CE$100,0)),0)+IFERROR(SUMPRODUCT((ISNUMBER(SEARCH($B8,Jenny!$B$4:$B$100)))*(LEFT(TRIM(Jenny!$E$3:$CE$3),LEN(TRIM(G$2)))=TRIM(G$2))*IFERROR(Jenny!$E$4:$CE$100,0)),0)+IFERROR(SUMPRODUCT((ISNUMBER(SEARCH($B8,Cooper!$B$4:$B$100)))*(LEFT(TRIM(Cooper!$E$3:$CE$3),LEN(TRIM(G$2)))=TRIM(G$2))*IFERROR(Cooper!$E$4:$CE$100,0)),0)+IFERROR(SUMPRODUCT((ISNUMBER(SEARCH($B8,Summer!$B$4:$B$100)))*(LEFT(TRIM(Summer!$E$3:$CE$3),LEN(TRIM(G$2)))=TRIM(G$2))*IFERROR(Summer!$E$4:$CE$100,0)),0)+IFERROR(SUMPRODUCT((ISNUMBER(SEARCH($B8,Julie!$B$4:$B$100)))*(LEFT(TRIM(Julie!$E$3:$CE$3),LEN(TRIM(G$2)))=TRIM(G$2))*IFERROR(Julie!$E$4:$CE$100,0)),0)+IFERROR(SUMPRODUCT((ISNUMBER(SEARCH($B8,Jiao!$B$4:$B$100)))*(LEFT(TRIM(Jiao!$E$3:$CE$3),LEN(TRIM(G$2)))=TRIM(G$2))*IFERROR(Jiao!$E$4:$CE$100,0)),0)</f>
      </c>
      <c r="H8" s="41">
        <f>=IFERROR(SUMPRODUCT((ISNUMBER(SEARCH($B8,KeDa!$B$4:$B$100)))*(LEFT(TRIM(KeDa!$E$3:$CE$3),LEN(TRIM(H$2)))=TRIM(H$2))*IFERROR(KeDa!$E$4:$CE$100,0)),0)+IFERROR(SUMPRODUCT((ISNUMBER(SEARCH($B8,Tank!$B$4:$B$100)))*(LEFT(TRIM(Tank!$E$3:$CE$3),LEN(TRIM(H$2)))=TRIM(H$2))*IFERROR(Tank!$E$4:$CE$100,0)),0)+IFERROR(SUMPRODUCT((ISNUMBER(SEARCH($B8,Richard!$B$4:$B$100)))*(LEFT(TRIM(Richard!$E$3:$CE$3),LEN(TRIM(H$2)))=TRIM(H$2))*IFERROR(Richard!$E$4:$CE$100,0)),0)+IFERROR(SUMPRODUCT((ISNUMBER(SEARCH($B8,Jenny!$B$4:$B$100)))*(LEFT(TRIM(Jenny!$E$3:$CE$3),LEN(TRIM(H$2)))=TRIM(H$2))*IFERROR(Jenny!$E$4:$CE$100,0)),0)+IFERROR(SUMPRODUCT((ISNUMBER(SEARCH($B8,Cooper!$B$4:$B$100)))*(LEFT(TRIM(Cooper!$E$3:$CE$3),LEN(TRIM(H$2)))=TRIM(H$2))*IFERROR(Cooper!$E$4:$CE$100,0)),0)+IFERROR(SUMPRODUCT((ISNUMBER(SEARCH($B8,Summer!$B$4:$B$100)))*(LEFT(TRIM(Summer!$E$3:$CE$3),LEN(TRIM(H$2)))=TRIM(H$2))*IFERROR(Summer!$E$4:$CE$100,0)),0)+IFERROR(SUMPRODUCT((ISNUMBER(SEARCH($B8,Julie!$B$4:$B$100)))*(LEFT(TRIM(Julie!$E$3:$CE$3),LEN(TRIM(H$2)))=TRIM(H$2))*IFERROR(Julie!$E$4:$CE$100,0)),0)+IFERROR(SUMPRODUCT((ISNUMBER(SEARCH($B8,Jiao!$B$4:$B$100)))*(LEFT(TRIM(Jiao!$E$3:$CE$3),LEN(TRIM(H$2)))=TRIM(H$2))*IFERROR(Jiao!$E$4:$CE$100,0)),0)</f>
      </c>
      <c r="I8" s="41">
        <f>=IFERROR(SUMPRODUCT((ISNUMBER(SEARCH($B8,KeDa!$B$4:$B$100)))*(LEFT(TRIM(KeDa!$E$3:$CE$3),LEN(TRIM(I$2)))=TRIM(I$2))*IFERROR(KeDa!$E$4:$CE$100,0)),0)+IFERROR(SUMPRODUCT((ISNUMBER(SEARCH($B8,Tank!$B$4:$B$100)))*(LEFT(TRIM(Tank!$E$3:$CE$3),LEN(TRIM(I$2)))=TRIM(I$2))*IFERROR(Tank!$E$4:$CE$100,0)),0)+IFERROR(SUMPRODUCT((ISNUMBER(SEARCH($B8,Richard!$B$4:$B$100)))*(LEFT(TRIM(Richard!$E$3:$CE$3),LEN(TRIM(I$2)))=TRIM(I$2))*IFERROR(Richard!$E$4:$CE$100,0)),0)+IFERROR(SUMPRODUCT((ISNUMBER(SEARCH($B8,Jenny!$B$4:$B$100)))*(LEFT(TRIM(Jenny!$E$3:$CE$3),LEN(TRIM(I$2)))=TRIM(I$2))*IFERROR(Jenny!$E$4:$CE$100,0)),0)+IFERROR(SUMPRODUCT((ISNUMBER(SEARCH($B8,Cooper!$B$4:$B$100)))*(LEFT(TRIM(Cooper!$E$3:$CE$3),LEN(TRIM(I$2)))=TRIM(I$2))*IFERROR(Cooper!$E$4:$CE$100,0)),0)+IFERROR(SUMPRODUCT((ISNUMBER(SEARCH($B8,Summer!$B$4:$B$100)))*(LEFT(TRIM(Summer!$E$3:$CE$3),LEN(TRIM(I$2)))=TRIM(I$2))*IFERROR(Summer!$E$4:$CE$100,0)),0)+IFERROR(SUMPRODUCT((ISNUMBER(SEARCH($B8,Julie!$B$4:$B$100)))*(LEFT(TRIM(Julie!$E$3:$CE$3),LEN(TRIM(I$2)))=TRIM(I$2))*IFERROR(Julie!$E$4:$CE$100,0)),0)+IFERROR(SUMPRODUCT((ISNUMBER(SEARCH($B8,Jiao!$B$4:$B$100)))*(LEFT(TRIM(Jiao!$E$3:$CE$3),LEN(TRIM(I$2)))=TRIM(I$2))*IFERROR(Jiao!$E$4:$CE$100,0)),0)</f>
      </c>
      <c r="J8" s="41">
        <f>=IFERROR(SUMPRODUCT((ISNUMBER(SEARCH($B8,KeDa!$B$4:$B$100)))*(LEFT(TRIM(KeDa!$E$3:$CE$3),LEN(TRIM(J$2)))=TRIM(J$2))*IFERROR(KeDa!$E$4:$CE$100,0)),0)+IFERROR(SUMPRODUCT((ISNUMBER(SEARCH($B8,Tank!$B$4:$B$100)))*(LEFT(TRIM(Tank!$E$3:$CE$3),LEN(TRIM(J$2)))=TRIM(J$2))*IFERROR(Tank!$E$4:$CE$100,0)),0)+IFERROR(SUMPRODUCT((ISNUMBER(SEARCH($B8,Richard!$B$4:$B$100)))*(LEFT(TRIM(Richard!$E$3:$CE$3),LEN(TRIM(J$2)))=TRIM(J$2))*IFERROR(Richard!$E$4:$CE$100,0)),0)+IFERROR(SUMPRODUCT((ISNUMBER(SEARCH($B8,Jenny!$B$4:$B$100)))*(LEFT(TRIM(Jenny!$E$3:$CE$3),LEN(TRIM(J$2)))=TRIM(J$2))*IFERROR(Jenny!$E$4:$CE$100,0)),0)+IFERROR(SUMPRODUCT((ISNUMBER(SEARCH($B8,Cooper!$B$4:$B$100)))*(LEFT(TRIM(Cooper!$E$3:$CE$3),LEN(TRIM(J$2)))=TRIM(J$2))*IFERROR(Cooper!$E$4:$CE$100,0)),0)+IFERROR(SUMPRODUCT((ISNUMBER(SEARCH($B8,Summer!$B$4:$B$100)))*(LEFT(TRIM(Summer!$E$3:$CE$3),LEN(TRIM(J$2)))=TRIM(J$2))*IFERROR(Summer!$E$4:$CE$100,0)),0)+IFERROR(SUMPRODUCT((ISNUMBER(SEARCH($B8,Julie!$B$4:$B$100)))*(LEFT(TRIM(Julie!$E$3:$CE$3),LEN(TRIM(J$2)))=TRIM(J$2))*IFERROR(Julie!$E$4:$CE$100,0)),0)+IFERROR(SUMPRODUCT((ISNUMBER(SEARCH($B8,Jiao!$B$4:$B$100)))*(LEFT(TRIM(Jiao!$E$3:$CE$3),LEN(TRIM(J$2)))=TRIM(J$2))*IFERROR(Jiao!$E$4:$CE$100,0)),0)</f>
      </c>
      <c r="K8" s="41">
        <f>=IFERROR(SUMPRODUCT((ISNUMBER(SEARCH($B8,KeDa!$B$4:$B$100)))*(LEFT(TRIM(KeDa!$E$3:$CE$3),LEN(TRIM(K$2)))=TRIM(K$2))*IFERROR(KeDa!$E$4:$CE$100,0)),0)+IFERROR(SUMPRODUCT((ISNUMBER(SEARCH($B8,Tank!$B$4:$B$100)))*(LEFT(TRIM(Tank!$E$3:$CE$3),LEN(TRIM(K$2)))=TRIM(K$2))*IFERROR(Tank!$E$4:$CE$100,0)),0)+IFERROR(SUMPRODUCT((ISNUMBER(SEARCH($B8,Richard!$B$4:$B$100)))*(LEFT(TRIM(Richard!$E$3:$CE$3),LEN(TRIM(K$2)))=TRIM(K$2))*IFERROR(Richard!$E$4:$CE$100,0)),0)+IFERROR(SUMPRODUCT((ISNUMBER(SEARCH($B8,Jenny!$B$4:$B$100)))*(LEFT(TRIM(Jenny!$E$3:$CE$3),LEN(TRIM(K$2)))=TRIM(K$2))*IFERROR(Jenny!$E$4:$CE$100,0)),0)+IFERROR(SUMPRODUCT((ISNUMBER(SEARCH($B8,Cooper!$B$4:$B$100)))*(LEFT(TRIM(Cooper!$E$3:$CE$3),LEN(TRIM(K$2)))=TRIM(K$2))*IFERROR(Cooper!$E$4:$CE$100,0)),0)+IFERROR(SUMPRODUCT((ISNUMBER(SEARCH($B8,Summer!$B$4:$B$100)))*(LEFT(TRIM(Summer!$E$3:$CE$3),LEN(TRIM(K$2)))=TRIM(K$2))*IFERROR(Summer!$E$4:$CE$100,0)),0)+IFERROR(SUMPRODUCT((ISNUMBER(SEARCH($B8,Julie!$B$4:$B$100)))*(LEFT(TRIM(Julie!$E$3:$CE$3),LEN(TRIM(K$2)))=TRIM(K$2))*IFERROR(Julie!$E$4:$CE$100,0)),0)+IFERROR(SUMPRODUCT((ISNUMBER(SEARCH($B8,Jiao!$B$4:$B$100)))*(LEFT(TRIM(Jiao!$E$3:$CE$3),LEN(TRIM(K$2)))=TRIM(K$2))*IFERROR(Jiao!$E$4:$CE$100,0)),0)</f>
      </c>
    </row>
    <row r="9" spans="1:11">
      <c r="A9" s="25">
        <v>7</v>
      </c>
      <c r="B9" s="30" t="s">
        <v>183</v>
      </c>
      <c r="C9" s="26" t="s">
        <v>106</v>
      </c>
      <c r="D9" s="26" t="s">
        <v>100</v>
      </c>
      <c r="E9" s="41">
        <f>=IFERROR(SUMPRODUCT((ISNUMBER(SEARCH($B9,KeDa!$B$4:$B$100)))*(LEFT(TRIM(KeDa!$E$3:$CE$3),LEN(TRIM(E$2)))=TRIM(E$2))*IFERROR(KeDa!$E$4:$CE$100,0)),0)+IFERROR(SUMPRODUCT((ISNUMBER(SEARCH($B9,Tank!$B$4:$B$100)))*(LEFT(TRIM(Tank!$E$3:$CE$3),LEN(TRIM(E$2)))=TRIM(E$2))*IFERROR(Tank!$E$4:$CE$100,0)),0)+IFERROR(SUMPRODUCT((ISNUMBER(SEARCH($B9,Richard!$B$4:$B$100)))*(LEFT(TRIM(Richard!$E$3:$CE$3),LEN(TRIM(E$2)))=TRIM(E$2))*IFERROR(Richard!$E$4:$CE$100,0)),0)+IFERROR(SUMPRODUCT((ISNUMBER(SEARCH($B9,Jenny!$B$4:$B$100)))*(LEFT(TRIM(Jenny!$E$3:$CE$3),LEN(TRIM(E$2)))=TRIM(E$2))*IFERROR(Jenny!$E$4:$CE$100,0)),0)+IFERROR(SUMPRODUCT((ISNUMBER(SEARCH($B9,Cooper!$B$4:$B$100)))*(LEFT(TRIM(Cooper!$E$3:$CE$3),LEN(TRIM(E$2)))=TRIM(E$2))*IFERROR(Cooper!$E$4:$CE$100,0)),0)+IFERROR(SUMPRODUCT((ISNUMBER(SEARCH($B9,Summer!$B$4:$B$100)))*(LEFT(TRIM(Summer!$E$3:$CE$3),LEN(TRIM(E$2)))=TRIM(E$2))*IFERROR(Summer!$E$4:$CE$100,0)),0)+IFERROR(SUMPRODUCT((ISNUMBER(SEARCH($B9,Julie!$B$4:$B$100)))*(LEFT(TRIM(Julie!$E$3:$CE$3),LEN(TRIM(E$2)))=TRIM(E$2))*IFERROR(Julie!$E$4:$CE$100,0)),0)+IFERROR(SUMPRODUCT((ISNUMBER(SEARCH($B9,Jiao!$B$4:$B$100)))*(LEFT(TRIM(Jiao!$E$3:$CE$3),LEN(TRIM(E$2)))=TRIM(E$2))*IFERROR(Jiao!$E$4:$CE$100,0)),0)</f>
      </c>
      <c r="F9" s="41">
        <f>=IFERROR(SUMPRODUCT((ISNUMBER(SEARCH($B9,KeDa!$B$4:$B$100)))*(LEFT(TRIM(KeDa!$E$3:$CE$3),LEN(TRIM(F$2)))=TRIM(F$2))*IFERROR(KeDa!$E$4:$CE$100,0)),0)+IFERROR(SUMPRODUCT((ISNUMBER(SEARCH($B9,Tank!$B$4:$B$100)))*(LEFT(TRIM(Tank!$E$3:$CE$3),LEN(TRIM(F$2)))=TRIM(F$2))*IFERROR(Tank!$E$4:$CE$100,0)),0)+IFERROR(SUMPRODUCT((ISNUMBER(SEARCH($B9,Richard!$B$4:$B$100)))*(LEFT(TRIM(Richard!$E$3:$CE$3),LEN(TRIM(F$2)))=TRIM(F$2))*IFERROR(Richard!$E$4:$CE$100,0)),0)+IFERROR(SUMPRODUCT((ISNUMBER(SEARCH($B9,Jenny!$B$4:$B$100)))*(LEFT(TRIM(Jenny!$E$3:$CE$3),LEN(TRIM(F$2)))=TRIM(F$2))*IFERROR(Jenny!$E$4:$CE$100,0)),0)+IFERROR(SUMPRODUCT((ISNUMBER(SEARCH($B9,Cooper!$B$4:$B$100)))*(LEFT(TRIM(Cooper!$E$3:$CE$3),LEN(TRIM(F$2)))=TRIM(F$2))*IFERROR(Cooper!$E$4:$CE$100,0)),0)+IFERROR(SUMPRODUCT((ISNUMBER(SEARCH($B9,Summer!$B$4:$B$100)))*(LEFT(TRIM(Summer!$E$3:$CE$3),LEN(TRIM(F$2)))=TRIM(F$2))*IFERROR(Summer!$E$4:$CE$100,0)),0)+IFERROR(SUMPRODUCT((ISNUMBER(SEARCH($B9,Julie!$B$4:$B$100)))*(LEFT(TRIM(Julie!$E$3:$CE$3),LEN(TRIM(F$2)))=TRIM(F$2))*IFERROR(Julie!$E$4:$CE$100,0)),0)+IFERROR(SUMPRODUCT((ISNUMBER(SEARCH($B9,Jiao!$B$4:$B$100)))*(LEFT(TRIM(Jiao!$E$3:$CE$3),LEN(TRIM(F$2)))=TRIM(F$2))*IFERROR(Jiao!$E$4:$CE$100,0)),0)</f>
      </c>
      <c r="G9" s="41">
        <f>=IFERROR(SUMPRODUCT((ISNUMBER(SEARCH($B9,KeDa!$B$4:$B$100)))*(LEFT(TRIM(KeDa!$E$3:$CE$3),LEN(TRIM(G$2)))=TRIM(G$2))*IFERROR(KeDa!$E$4:$CE$100,0)),0)+IFERROR(SUMPRODUCT((ISNUMBER(SEARCH($B9,Tank!$B$4:$B$100)))*(LEFT(TRIM(Tank!$E$3:$CE$3),LEN(TRIM(G$2)))=TRIM(G$2))*IFERROR(Tank!$E$4:$CE$100,0)),0)+IFERROR(SUMPRODUCT((ISNUMBER(SEARCH($B9,Richard!$B$4:$B$100)))*(LEFT(TRIM(Richard!$E$3:$CE$3),LEN(TRIM(G$2)))=TRIM(G$2))*IFERROR(Richard!$E$4:$CE$100,0)),0)+IFERROR(SUMPRODUCT((ISNUMBER(SEARCH($B9,Jenny!$B$4:$B$100)))*(LEFT(TRIM(Jenny!$E$3:$CE$3),LEN(TRIM(G$2)))=TRIM(G$2))*IFERROR(Jenny!$E$4:$CE$100,0)),0)+IFERROR(SUMPRODUCT((ISNUMBER(SEARCH($B9,Cooper!$B$4:$B$100)))*(LEFT(TRIM(Cooper!$E$3:$CE$3),LEN(TRIM(G$2)))=TRIM(G$2))*IFERROR(Cooper!$E$4:$CE$100,0)),0)+IFERROR(SUMPRODUCT((ISNUMBER(SEARCH($B9,Summer!$B$4:$B$100)))*(LEFT(TRIM(Summer!$E$3:$CE$3),LEN(TRIM(G$2)))=TRIM(G$2))*IFERROR(Summer!$E$4:$CE$100,0)),0)+IFERROR(SUMPRODUCT((ISNUMBER(SEARCH($B9,Julie!$B$4:$B$100)))*(LEFT(TRIM(Julie!$E$3:$CE$3),LEN(TRIM(G$2)))=TRIM(G$2))*IFERROR(Julie!$E$4:$CE$100,0)),0)+IFERROR(SUMPRODUCT((ISNUMBER(SEARCH($B9,Jiao!$B$4:$B$100)))*(LEFT(TRIM(Jiao!$E$3:$CE$3),LEN(TRIM(G$2)))=TRIM(G$2))*IFERROR(Jiao!$E$4:$CE$100,0)),0)</f>
      </c>
      <c r="H9" s="41">
        <f>=IFERROR(SUMPRODUCT((ISNUMBER(SEARCH($B9,KeDa!$B$4:$B$100)))*(LEFT(TRIM(KeDa!$E$3:$CE$3),LEN(TRIM(H$2)))=TRIM(H$2))*IFERROR(KeDa!$E$4:$CE$100,0)),0)+IFERROR(SUMPRODUCT((ISNUMBER(SEARCH($B9,Tank!$B$4:$B$100)))*(LEFT(TRIM(Tank!$E$3:$CE$3),LEN(TRIM(H$2)))=TRIM(H$2))*IFERROR(Tank!$E$4:$CE$100,0)),0)+IFERROR(SUMPRODUCT((ISNUMBER(SEARCH($B9,Richard!$B$4:$B$100)))*(LEFT(TRIM(Richard!$E$3:$CE$3),LEN(TRIM(H$2)))=TRIM(H$2))*IFERROR(Richard!$E$4:$CE$100,0)),0)+IFERROR(SUMPRODUCT((ISNUMBER(SEARCH($B9,Jenny!$B$4:$B$100)))*(LEFT(TRIM(Jenny!$E$3:$CE$3),LEN(TRIM(H$2)))=TRIM(H$2))*IFERROR(Jenny!$E$4:$CE$100,0)),0)+IFERROR(SUMPRODUCT((ISNUMBER(SEARCH($B9,Cooper!$B$4:$B$100)))*(LEFT(TRIM(Cooper!$E$3:$CE$3),LEN(TRIM(H$2)))=TRIM(H$2))*IFERROR(Cooper!$E$4:$CE$100,0)),0)+IFERROR(SUMPRODUCT((ISNUMBER(SEARCH($B9,Summer!$B$4:$B$100)))*(LEFT(TRIM(Summer!$E$3:$CE$3),LEN(TRIM(H$2)))=TRIM(H$2))*IFERROR(Summer!$E$4:$CE$100,0)),0)+IFERROR(SUMPRODUCT((ISNUMBER(SEARCH($B9,Julie!$B$4:$B$100)))*(LEFT(TRIM(Julie!$E$3:$CE$3),LEN(TRIM(H$2)))=TRIM(H$2))*IFERROR(Julie!$E$4:$CE$100,0)),0)+IFERROR(SUMPRODUCT((ISNUMBER(SEARCH($B9,Jiao!$B$4:$B$100)))*(LEFT(TRIM(Jiao!$E$3:$CE$3),LEN(TRIM(H$2)))=TRIM(H$2))*IFERROR(Jiao!$E$4:$CE$100,0)),0)</f>
      </c>
      <c r="I9" s="41">
        <f>=IFERROR(SUMPRODUCT((ISNUMBER(SEARCH($B9,KeDa!$B$4:$B$100)))*(LEFT(TRIM(KeDa!$E$3:$CE$3),LEN(TRIM(I$2)))=TRIM(I$2))*IFERROR(KeDa!$E$4:$CE$100,0)),0)+IFERROR(SUMPRODUCT((ISNUMBER(SEARCH($B9,Tank!$B$4:$B$100)))*(LEFT(TRIM(Tank!$E$3:$CE$3),LEN(TRIM(I$2)))=TRIM(I$2))*IFERROR(Tank!$E$4:$CE$100,0)),0)+IFERROR(SUMPRODUCT((ISNUMBER(SEARCH($B9,Richard!$B$4:$B$100)))*(LEFT(TRIM(Richard!$E$3:$CE$3),LEN(TRIM(I$2)))=TRIM(I$2))*IFERROR(Richard!$E$4:$CE$100,0)),0)+IFERROR(SUMPRODUCT((ISNUMBER(SEARCH($B9,Jenny!$B$4:$B$100)))*(LEFT(TRIM(Jenny!$E$3:$CE$3),LEN(TRIM(I$2)))=TRIM(I$2))*IFERROR(Jenny!$E$4:$CE$100,0)),0)+IFERROR(SUMPRODUCT((ISNUMBER(SEARCH($B9,Cooper!$B$4:$B$100)))*(LEFT(TRIM(Cooper!$E$3:$CE$3),LEN(TRIM(I$2)))=TRIM(I$2))*IFERROR(Cooper!$E$4:$CE$100,0)),0)+IFERROR(SUMPRODUCT((ISNUMBER(SEARCH($B9,Summer!$B$4:$B$100)))*(LEFT(TRIM(Summer!$E$3:$CE$3),LEN(TRIM(I$2)))=TRIM(I$2))*IFERROR(Summer!$E$4:$CE$100,0)),0)+IFERROR(SUMPRODUCT((ISNUMBER(SEARCH($B9,Julie!$B$4:$B$100)))*(LEFT(TRIM(Julie!$E$3:$CE$3),LEN(TRIM(I$2)))=TRIM(I$2))*IFERROR(Julie!$E$4:$CE$100,0)),0)+IFERROR(SUMPRODUCT((ISNUMBER(SEARCH($B9,Jiao!$B$4:$B$100)))*(LEFT(TRIM(Jiao!$E$3:$CE$3),LEN(TRIM(I$2)))=TRIM(I$2))*IFERROR(Jiao!$E$4:$CE$100,0)),0)</f>
      </c>
      <c r="J9" s="41">
        <f>=IFERROR(SUMPRODUCT((ISNUMBER(SEARCH($B9,KeDa!$B$4:$B$100)))*(LEFT(TRIM(KeDa!$E$3:$CE$3),LEN(TRIM(J$2)))=TRIM(J$2))*IFERROR(KeDa!$E$4:$CE$100,0)),0)+IFERROR(SUMPRODUCT((ISNUMBER(SEARCH($B9,Tank!$B$4:$B$100)))*(LEFT(TRIM(Tank!$E$3:$CE$3),LEN(TRIM(J$2)))=TRIM(J$2))*IFERROR(Tank!$E$4:$CE$100,0)),0)+IFERROR(SUMPRODUCT((ISNUMBER(SEARCH($B9,Richard!$B$4:$B$100)))*(LEFT(TRIM(Richard!$E$3:$CE$3),LEN(TRIM(J$2)))=TRIM(J$2))*IFERROR(Richard!$E$4:$CE$100,0)),0)+IFERROR(SUMPRODUCT((ISNUMBER(SEARCH($B9,Jenny!$B$4:$B$100)))*(LEFT(TRIM(Jenny!$E$3:$CE$3),LEN(TRIM(J$2)))=TRIM(J$2))*IFERROR(Jenny!$E$4:$CE$100,0)),0)+IFERROR(SUMPRODUCT((ISNUMBER(SEARCH($B9,Cooper!$B$4:$B$100)))*(LEFT(TRIM(Cooper!$E$3:$CE$3),LEN(TRIM(J$2)))=TRIM(J$2))*IFERROR(Cooper!$E$4:$CE$100,0)),0)+IFERROR(SUMPRODUCT((ISNUMBER(SEARCH($B9,Summer!$B$4:$B$100)))*(LEFT(TRIM(Summer!$E$3:$CE$3),LEN(TRIM(J$2)))=TRIM(J$2))*IFERROR(Summer!$E$4:$CE$100,0)),0)+IFERROR(SUMPRODUCT((ISNUMBER(SEARCH($B9,Julie!$B$4:$B$100)))*(LEFT(TRIM(Julie!$E$3:$CE$3),LEN(TRIM(J$2)))=TRIM(J$2))*IFERROR(Julie!$E$4:$CE$100,0)),0)+IFERROR(SUMPRODUCT((ISNUMBER(SEARCH($B9,Jiao!$B$4:$B$100)))*(LEFT(TRIM(Jiao!$E$3:$CE$3),LEN(TRIM(J$2)))=TRIM(J$2))*IFERROR(Jiao!$E$4:$CE$100,0)),0)</f>
      </c>
      <c r="K9" s="41">
        <f>=IFERROR(SUMPRODUCT((ISNUMBER(SEARCH($B9,KeDa!$B$4:$B$100)))*(LEFT(TRIM(KeDa!$E$3:$CE$3),LEN(TRIM(K$2)))=TRIM(K$2))*IFERROR(KeDa!$E$4:$CE$100,0)),0)+IFERROR(SUMPRODUCT((ISNUMBER(SEARCH($B9,Tank!$B$4:$B$100)))*(LEFT(TRIM(Tank!$E$3:$CE$3),LEN(TRIM(K$2)))=TRIM(K$2))*IFERROR(Tank!$E$4:$CE$100,0)),0)+IFERROR(SUMPRODUCT((ISNUMBER(SEARCH($B9,Richard!$B$4:$B$100)))*(LEFT(TRIM(Richard!$E$3:$CE$3),LEN(TRIM(K$2)))=TRIM(K$2))*IFERROR(Richard!$E$4:$CE$100,0)),0)+IFERROR(SUMPRODUCT((ISNUMBER(SEARCH($B9,Jenny!$B$4:$B$100)))*(LEFT(TRIM(Jenny!$E$3:$CE$3),LEN(TRIM(K$2)))=TRIM(K$2))*IFERROR(Jenny!$E$4:$CE$100,0)),0)+IFERROR(SUMPRODUCT((ISNUMBER(SEARCH($B9,Cooper!$B$4:$B$100)))*(LEFT(TRIM(Cooper!$E$3:$CE$3),LEN(TRIM(K$2)))=TRIM(K$2))*IFERROR(Cooper!$E$4:$CE$100,0)),0)+IFERROR(SUMPRODUCT((ISNUMBER(SEARCH($B9,Summer!$B$4:$B$100)))*(LEFT(TRIM(Summer!$E$3:$CE$3),LEN(TRIM(K$2)))=TRIM(K$2))*IFERROR(Summer!$E$4:$CE$100,0)),0)+IFERROR(SUMPRODUCT((ISNUMBER(SEARCH($B9,Julie!$B$4:$B$100)))*(LEFT(TRIM(Julie!$E$3:$CE$3),LEN(TRIM(K$2)))=TRIM(K$2))*IFERROR(Julie!$E$4:$CE$100,0)),0)+IFERROR(SUMPRODUCT((ISNUMBER(SEARCH($B9,Jiao!$B$4:$B$100)))*(LEFT(TRIM(Jiao!$E$3:$CE$3),LEN(TRIM(K$2)))=TRIM(K$2))*IFERROR(Jiao!$E$4:$CE$100,0)),0)</f>
      </c>
    </row>
    <row r="10" spans="1:11">
      <c r="A10" s="42">
        <v>8</v>
      </c>
      <c r="B10" s="43" t="s">
        <v>214</v>
      </c>
      <c r="C10" s="43" t="s">
        <v>1</v>
      </c>
      <c r="D10" s="43" t="s">
        <v>1</v>
      </c>
      <c r="E10" s="38" t="s">
        <v>1</v>
      </c>
      <c r="F10" s="38" t="s">
        <v>1</v>
      </c>
      <c r="G10" s="38" t="s">
        <v>1</v>
      </c>
      <c r="H10" s="38" t="s">
        <v>1</v>
      </c>
      <c r="I10" s="38" t="s">
        <v>1</v>
      </c>
      <c r="J10" s="38" t="s">
        <v>1</v>
      </c>
      <c r="K10" s="38" t="s">
        <v>1</v>
      </c>
    </row>
    <row r="11" spans="1:11">
      <c r="A11" s="42">
        <v>9</v>
      </c>
      <c r="B11" s="43" t="s">
        <v>215</v>
      </c>
      <c r="C11" s="43" t="s">
        <v>1</v>
      </c>
      <c r="D11" s="43" t="s">
        <v>1</v>
      </c>
      <c r="E11" s="38" t="s">
        <v>1</v>
      </c>
      <c r="F11" s="38" t="s">
        <v>1</v>
      </c>
      <c r="G11" s="38" t="s">
        <v>1</v>
      </c>
      <c r="H11" s="38" t="s">
        <v>1</v>
      </c>
      <c r="I11" s="38" t="s">
        <v>1</v>
      </c>
      <c r="J11" s="38" t="s">
        <v>1</v>
      </c>
      <c r="K11" s="38" t="s">
        <v>1</v>
      </c>
    </row>
    <row r="12" spans="1:11">
      <c r="A12" s="42">
        <v>10</v>
      </c>
      <c r="B12" s="43" t="s">
        <v>216</v>
      </c>
      <c r="C12" s="43" t="s">
        <v>1</v>
      </c>
      <c r="D12" s="43" t="s">
        <v>1</v>
      </c>
      <c r="E12" s="38" t="s">
        <v>1</v>
      </c>
      <c r="F12" s="38" t="s">
        <v>1</v>
      </c>
      <c r="G12" s="38" t="s">
        <v>1</v>
      </c>
      <c r="H12" s="38" t="s">
        <v>1</v>
      </c>
      <c r="I12" s="38" t="s">
        <v>1</v>
      </c>
      <c r="J12" s="38" t="s">
        <v>1</v>
      </c>
      <c r="K12" s="38" t="s">
        <v>1</v>
      </c>
    </row>
    <row r="13" spans="1:4">
      <c r="A13" s="42">
        <v>11</v>
      </c>
      <c r="B13" s="43" t="s">
        <v>217</v>
      </c>
      <c r="C13" s="43" t="s">
        <v>1</v>
      </c>
      <c r="D13" s="43" t="s">
        <v>1</v>
      </c>
    </row>
  </sheetData>
  <mergeCells count="3">
    <mergeCell ref="A1:B1"/>
    <mergeCell ref="E1:H1"/>
    <mergeCell ref="I1:K1"/>
  </mergeCells>
</worksheet>
</file>

<file path=xl/worksheets/sheet5.xml><?xml version="1.0" encoding="utf-8"?>
<worksheet xmlns="http://schemas.openxmlformats.org/spreadsheetml/2006/main">
  <sheetPr codeName="Darwin">
    <tabColor rgb="FFFFFFFF"/>
  </sheetPr>
  <dimension ref="K13"/>
  <sheetViews>
    <sheetView showGridLines="true" workbookViewId="0"/>
  </sheetViews>
  <cols>
    <col min="1" max="1" width="8.71094" customWidth="true"/>
    <col min="2" max="2" width="12.7109" customWidth="true"/>
    <col min="3" max="3" width="8.71094" customWidth="true"/>
    <col min="4" max="4" width="18.7109" customWidth="true"/>
    <col min="5" max="5" width="26.7109" customWidth="true"/>
    <col min="6" max="6" width="20.7109" customWidth="true"/>
    <col min="7" max="7" width="20.7109" customWidth="true"/>
    <col min="8" max="8" width="21.7109" customWidth="true"/>
    <col min="9" max="9" width="24.7109" customWidth="true"/>
    <col min="10" max="10" width="13.7109" customWidth="true"/>
    <col min="11" max="11" width="14.7109" customWidth="true"/>
  </cols>
  <sheetData>
    <row r="1" spans="1:9">
      <c r="A1" s="58" t="s">
        <v>120</v>
      </c>
      <c r="E1" s="35" t="s">
        <v>108</v>
      </c>
      <c r="I1" s="36" t="s">
        <v>13</v>
      </c>
    </row>
    <row r="2" spans="1:11">
      <c r="A2" s="59" t="s">
        <v>155</v>
      </c>
      <c r="B2" s="60" t="s">
        <v>156</v>
      </c>
      <c r="C2" s="60" t="s">
        <v>157</v>
      </c>
      <c r="D2" s="61" t="s">
        <v>14</v>
      </c>
      <c r="E2" s="38" t="s">
        <v>15</v>
      </c>
      <c r="F2" s="38" t="s">
        <v>16</v>
      </c>
      <c r="G2" s="38" t="s">
        <v>17</v>
      </c>
      <c r="H2" s="38" t="s">
        <v>18</v>
      </c>
      <c r="I2" s="38" t="s">
        <v>19</v>
      </c>
      <c r="J2" s="38" t="s">
        <v>20</v>
      </c>
      <c r="K2" s="38" t="s">
        <v>21</v>
      </c>
    </row>
    <row r="3" spans="1:11">
      <c r="A3" s="62">
        <v>1</v>
      </c>
      <c r="B3" s="28" t="s">
        <v>168</v>
      </c>
      <c r="C3" s="28" t="s">
        <v>101</v>
      </c>
      <c r="D3" s="28" t="s">
        <v>102</v>
      </c>
      <c r="E3" s="41">
        <f>=IFERROR(SUMPRODUCT((ISNUMBER(SEARCH($B3,KeDa!$B$4:$B$100)))*(LEFT(TRIM(KeDa!$E$3:$CE$3),LEN(TRIM(E$2)))=TRIM(E$2))*IFERROR(KeDa!$E$4:$CE$100,0)),0)+IFERROR(SUMPRODUCT((ISNUMBER(SEARCH($B3,Tank!$B$4:$B$100)))*(LEFT(TRIM(Tank!$E$3:$CE$3),LEN(TRIM(E$2)))=TRIM(E$2))*IFERROR(Tank!$E$4:$CE$100,0)),0)+IFERROR(SUMPRODUCT((ISNUMBER(SEARCH($B3,Richard!$B$4:$B$100)))*(LEFT(TRIM(Richard!$E$3:$CE$3),LEN(TRIM(E$2)))=TRIM(E$2))*IFERROR(Richard!$E$4:$CE$100,0)),0)+IFERROR(SUMPRODUCT((ISNUMBER(SEARCH($B3,Jenny!$B$4:$B$100)))*(LEFT(TRIM(Jenny!$E$3:$CE$3),LEN(TRIM(E$2)))=TRIM(E$2))*IFERROR(Jenny!$E$4:$CE$100,0)),0)+IFERROR(SUMPRODUCT((ISNUMBER(SEARCH($B3,Cooper!$B$4:$B$100)))*(LEFT(TRIM(Cooper!$E$3:$CE$3),LEN(TRIM(E$2)))=TRIM(E$2))*IFERROR(Cooper!$E$4:$CE$100,0)),0)+IFERROR(SUMPRODUCT((ISNUMBER(SEARCH($B3,Summer!$B$4:$B$100)))*(LEFT(TRIM(Summer!$E$3:$CE$3),LEN(TRIM(E$2)))=TRIM(E$2))*IFERROR(Summer!$E$4:$CE$100,0)),0)+IFERROR(SUMPRODUCT((ISNUMBER(SEARCH($B3,Julie!$B$4:$B$100)))*(LEFT(TRIM(Julie!$E$3:$CE$3),LEN(TRIM(E$2)))=TRIM(E$2))*IFERROR(Julie!$E$4:$CE$100,0)),0)+IFERROR(SUMPRODUCT((ISNUMBER(SEARCH($B3,Jiao!$B$4:$B$100)))*(LEFT(TRIM(Jiao!$E$3:$CE$3),LEN(TRIM(E$2)))=TRIM(E$2))*IFERROR(Jiao!$E$4:$CE$100,0)),0)</f>
      </c>
      <c r="F3" s="41">
        <f>=IFERROR(SUMPRODUCT((ISNUMBER(SEARCH($B3,KeDa!$B$4:$B$100)))*(LEFT(TRIM(KeDa!$E$3:$CE$3),LEN(TRIM(F$2)))=TRIM(F$2))*IFERROR(KeDa!$E$4:$CE$100,0)),0)+IFERROR(SUMPRODUCT((ISNUMBER(SEARCH($B3,Tank!$B$4:$B$100)))*(LEFT(TRIM(Tank!$E$3:$CE$3),LEN(TRIM(F$2)))=TRIM(F$2))*IFERROR(Tank!$E$4:$CE$100,0)),0)+IFERROR(SUMPRODUCT((ISNUMBER(SEARCH($B3,Richard!$B$4:$B$100)))*(LEFT(TRIM(Richard!$E$3:$CE$3),LEN(TRIM(F$2)))=TRIM(F$2))*IFERROR(Richard!$E$4:$CE$100,0)),0)+IFERROR(SUMPRODUCT((ISNUMBER(SEARCH($B3,Jenny!$B$4:$B$100)))*(LEFT(TRIM(Jenny!$E$3:$CE$3),LEN(TRIM(F$2)))=TRIM(F$2))*IFERROR(Jenny!$E$4:$CE$100,0)),0)+IFERROR(SUMPRODUCT((ISNUMBER(SEARCH($B3,Cooper!$B$4:$B$100)))*(LEFT(TRIM(Cooper!$E$3:$CE$3),LEN(TRIM(F$2)))=TRIM(F$2))*IFERROR(Cooper!$E$4:$CE$100,0)),0)+IFERROR(SUMPRODUCT((ISNUMBER(SEARCH($B3,Summer!$B$4:$B$100)))*(LEFT(TRIM(Summer!$E$3:$CE$3),LEN(TRIM(F$2)))=TRIM(F$2))*IFERROR(Summer!$E$4:$CE$100,0)),0)+IFERROR(SUMPRODUCT((ISNUMBER(SEARCH($B3,Julie!$B$4:$B$100)))*(LEFT(TRIM(Julie!$E$3:$CE$3),LEN(TRIM(F$2)))=TRIM(F$2))*IFERROR(Julie!$E$4:$CE$100,0)),0)+IFERROR(SUMPRODUCT((ISNUMBER(SEARCH($B3,Jiao!$B$4:$B$100)))*(LEFT(TRIM(Jiao!$E$3:$CE$3),LEN(TRIM(F$2)))=TRIM(F$2))*IFERROR(Jiao!$E$4:$CE$100,0)),0)</f>
      </c>
      <c r="G3" s="41">
        <f>=IFERROR(SUMPRODUCT((ISNUMBER(SEARCH($B3,KeDa!$B$4:$B$100)))*(LEFT(TRIM(KeDa!$E$3:$CE$3),LEN(TRIM(G$2)))=TRIM(G$2))*IFERROR(KeDa!$E$4:$CE$100,0)),0)+IFERROR(SUMPRODUCT((ISNUMBER(SEARCH($B3,Tank!$B$4:$B$100)))*(LEFT(TRIM(Tank!$E$3:$CE$3),LEN(TRIM(G$2)))=TRIM(G$2))*IFERROR(Tank!$E$4:$CE$100,0)),0)+IFERROR(SUMPRODUCT((ISNUMBER(SEARCH($B3,Richard!$B$4:$B$100)))*(LEFT(TRIM(Richard!$E$3:$CE$3),LEN(TRIM(G$2)))=TRIM(G$2))*IFERROR(Richard!$E$4:$CE$100,0)),0)+IFERROR(SUMPRODUCT((ISNUMBER(SEARCH($B3,Jenny!$B$4:$B$100)))*(LEFT(TRIM(Jenny!$E$3:$CE$3),LEN(TRIM(G$2)))=TRIM(G$2))*IFERROR(Jenny!$E$4:$CE$100,0)),0)+IFERROR(SUMPRODUCT((ISNUMBER(SEARCH($B3,Cooper!$B$4:$B$100)))*(LEFT(TRIM(Cooper!$E$3:$CE$3),LEN(TRIM(G$2)))=TRIM(G$2))*IFERROR(Cooper!$E$4:$CE$100,0)),0)+IFERROR(SUMPRODUCT((ISNUMBER(SEARCH($B3,Summer!$B$4:$B$100)))*(LEFT(TRIM(Summer!$E$3:$CE$3),LEN(TRIM(G$2)))=TRIM(G$2))*IFERROR(Summer!$E$4:$CE$100,0)),0)+IFERROR(SUMPRODUCT((ISNUMBER(SEARCH($B3,Julie!$B$4:$B$100)))*(LEFT(TRIM(Julie!$E$3:$CE$3),LEN(TRIM(G$2)))=TRIM(G$2))*IFERROR(Julie!$E$4:$CE$100,0)),0)+IFERROR(SUMPRODUCT((ISNUMBER(SEARCH($B3,Jiao!$B$4:$B$100)))*(LEFT(TRIM(Jiao!$E$3:$CE$3),LEN(TRIM(G$2)))=TRIM(G$2))*IFERROR(Jiao!$E$4:$CE$100,0)),0)</f>
      </c>
      <c r="H3" s="41">
        <f>=IFERROR(SUMPRODUCT((ISNUMBER(SEARCH($B3,KeDa!$B$4:$B$100)))*(LEFT(TRIM(KeDa!$E$3:$CE$3),LEN(TRIM(H$2)))=TRIM(H$2))*IFERROR(KeDa!$E$4:$CE$100,0)),0)+IFERROR(SUMPRODUCT((ISNUMBER(SEARCH($B3,Tank!$B$4:$B$100)))*(LEFT(TRIM(Tank!$E$3:$CE$3),LEN(TRIM(H$2)))=TRIM(H$2))*IFERROR(Tank!$E$4:$CE$100,0)),0)+IFERROR(SUMPRODUCT((ISNUMBER(SEARCH($B3,Richard!$B$4:$B$100)))*(LEFT(TRIM(Richard!$E$3:$CE$3),LEN(TRIM(H$2)))=TRIM(H$2))*IFERROR(Richard!$E$4:$CE$100,0)),0)+IFERROR(SUMPRODUCT((ISNUMBER(SEARCH($B3,Jenny!$B$4:$B$100)))*(LEFT(TRIM(Jenny!$E$3:$CE$3),LEN(TRIM(H$2)))=TRIM(H$2))*IFERROR(Jenny!$E$4:$CE$100,0)),0)+IFERROR(SUMPRODUCT((ISNUMBER(SEARCH($B3,Cooper!$B$4:$B$100)))*(LEFT(TRIM(Cooper!$E$3:$CE$3),LEN(TRIM(H$2)))=TRIM(H$2))*IFERROR(Cooper!$E$4:$CE$100,0)),0)+IFERROR(SUMPRODUCT((ISNUMBER(SEARCH($B3,Summer!$B$4:$B$100)))*(LEFT(TRIM(Summer!$E$3:$CE$3),LEN(TRIM(H$2)))=TRIM(H$2))*IFERROR(Summer!$E$4:$CE$100,0)),0)+IFERROR(SUMPRODUCT((ISNUMBER(SEARCH($B3,Julie!$B$4:$B$100)))*(LEFT(TRIM(Julie!$E$3:$CE$3),LEN(TRIM(H$2)))=TRIM(H$2))*IFERROR(Julie!$E$4:$CE$100,0)),0)+IFERROR(SUMPRODUCT((ISNUMBER(SEARCH($B3,Jiao!$B$4:$B$100)))*(LEFT(TRIM(Jiao!$E$3:$CE$3),LEN(TRIM(H$2)))=TRIM(H$2))*IFERROR(Jiao!$E$4:$CE$100,0)),0)</f>
      </c>
      <c r="I3" s="41">
        <f>=IFERROR(SUMPRODUCT((ISNUMBER(SEARCH($B3,KeDa!$B$4:$B$100)))*(LEFT(TRIM(KeDa!$E$3:$CE$3),LEN(TRIM(I$2)))=TRIM(I$2))*IFERROR(KeDa!$E$4:$CE$100,0)),0)+IFERROR(SUMPRODUCT((ISNUMBER(SEARCH($B3,Tank!$B$4:$B$100)))*(LEFT(TRIM(Tank!$E$3:$CE$3),LEN(TRIM(I$2)))=TRIM(I$2))*IFERROR(Tank!$E$4:$CE$100,0)),0)+IFERROR(SUMPRODUCT((ISNUMBER(SEARCH($B3,Richard!$B$4:$B$100)))*(LEFT(TRIM(Richard!$E$3:$CE$3),LEN(TRIM(I$2)))=TRIM(I$2))*IFERROR(Richard!$E$4:$CE$100,0)),0)+IFERROR(SUMPRODUCT((ISNUMBER(SEARCH($B3,Jenny!$B$4:$B$100)))*(LEFT(TRIM(Jenny!$E$3:$CE$3),LEN(TRIM(I$2)))=TRIM(I$2))*IFERROR(Jenny!$E$4:$CE$100,0)),0)+IFERROR(SUMPRODUCT((ISNUMBER(SEARCH($B3,Cooper!$B$4:$B$100)))*(LEFT(TRIM(Cooper!$E$3:$CE$3),LEN(TRIM(I$2)))=TRIM(I$2))*IFERROR(Cooper!$E$4:$CE$100,0)),0)+IFERROR(SUMPRODUCT((ISNUMBER(SEARCH($B3,Summer!$B$4:$B$100)))*(LEFT(TRIM(Summer!$E$3:$CE$3),LEN(TRIM(I$2)))=TRIM(I$2))*IFERROR(Summer!$E$4:$CE$100,0)),0)+IFERROR(SUMPRODUCT((ISNUMBER(SEARCH($B3,Julie!$B$4:$B$100)))*(LEFT(TRIM(Julie!$E$3:$CE$3),LEN(TRIM(I$2)))=TRIM(I$2))*IFERROR(Julie!$E$4:$CE$100,0)),0)+IFERROR(SUMPRODUCT((ISNUMBER(SEARCH($B3,Jiao!$B$4:$B$100)))*(LEFT(TRIM(Jiao!$E$3:$CE$3),LEN(TRIM(I$2)))=TRIM(I$2))*IFERROR(Jiao!$E$4:$CE$100,0)),0)</f>
      </c>
      <c r="J3" s="41">
        <f>=IFERROR(SUMPRODUCT((ISNUMBER(SEARCH($B3,KeDa!$B$4:$B$100)))*(LEFT(TRIM(KeDa!$E$3:$CE$3),LEN(TRIM(J$2)))=TRIM(J$2))*IFERROR(KeDa!$E$4:$CE$100,0)),0)+IFERROR(SUMPRODUCT((ISNUMBER(SEARCH($B3,Tank!$B$4:$B$100)))*(LEFT(TRIM(Tank!$E$3:$CE$3),LEN(TRIM(J$2)))=TRIM(J$2))*IFERROR(Tank!$E$4:$CE$100,0)),0)+IFERROR(SUMPRODUCT((ISNUMBER(SEARCH($B3,Richard!$B$4:$B$100)))*(LEFT(TRIM(Richard!$E$3:$CE$3),LEN(TRIM(J$2)))=TRIM(J$2))*IFERROR(Richard!$E$4:$CE$100,0)),0)+IFERROR(SUMPRODUCT((ISNUMBER(SEARCH($B3,Jenny!$B$4:$B$100)))*(LEFT(TRIM(Jenny!$E$3:$CE$3),LEN(TRIM(J$2)))=TRIM(J$2))*IFERROR(Jenny!$E$4:$CE$100,0)),0)+IFERROR(SUMPRODUCT((ISNUMBER(SEARCH($B3,Cooper!$B$4:$B$100)))*(LEFT(TRIM(Cooper!$E$3:$CE$3),LEN(TRIM(J$2)))=TRIM(J$2))*IFERROR(Cooper!$E$4:$CE$100,0)),0)+IFERROR(SUMPRODUCT((ISNUMBER(SEARCH($B3,Summer!$B$4:$B$100)))*(LEFT(TRIM(Summer!$E$3:$CE$3),LEN(TRIM(J$2)))=TRIM(J$2))*IFERROR(Summer!$E$4:$CE$100,0)),0)+IFERROR(SUMPRODUCT((ISNUMBER(SEARCH($B3,Julie!$B$4:$B$100)))*(LEFT(TRIM(Julie!$E$3:$CE$3),LEN(TRIM(J$2)))=TRIM(J$2))*IFERROR(Julie!$E$4:$CE$100,0)),0)+IFERROR(SUMPRODUCT((ISNUMBER(SEARCH($B3,Jiao!$B$4:$B$100)))*(LEFT(TRIM(Jiao!$E$3:$CE$3),LEN(TRIM(J$2)))=TRIM(J$2))*IFERROR(Jiao!$E$4:$CE$100,0)),0)</f>
      </c>
      <c r="K3" s="41">
        <f>=IFERROR(SUMPRODUCT((ISNUMBER(SEARCH($B3,KeDa!$B$4:$B$100)))*(LEFT(TRIM(KeDa!$E$3:$CE$3),LEN(TRIM(K$2)))=TRIM(K$2))*IFERROR(KeDa!$E$4:$CE$100,0)),0)+IFERROR(SUMPRODUCT((ISNUMBER(SEARCH($B3,Tank!$B$4:$B$100)))*(LEFT(TRIM(Tank!$E$3:$CE$3),LEN(TRIM(K$2)))=TRIM(K$2))*IFERROR(Tank!$E$4:$CE$100,0)),0)+IFERROR(SUMPRODUCT((ISNUMBER(SEARCH($B3,Richard!$B$4:$B$100)))*(LEFT(TRIM(Richard!$E$3:$CE$3),LEN(TRIM(K$2)))=TRIM(K$2))*IFERROR(Richard!$E$4:$CE$100,0)),0)+IFERROR(SUMPRODUCT((ISNUMBER(SEARCH($B3,Jenny!$B$4:$B$100)))*(LEFT(TRIM(Jenny!$E$3:$CE$3),LEN(TRIM(K$2)))=TRIM(K$2))*IFERROR(Jenny!$E$4:$CE$100,0)),0)+IFERROR(SUMPRODUCT((ISNUMBER(SEARCH($B3,Cooper!$B$4:$B$100)))*(LEFT(TRIM(Cooper!$E$3:$CE$3),LEN(TRIM(K$2)))=TRIM(K$2))*IFERROR(Cooper!$E$4:$CE$100,0)),0)+IFERROR(SUMPRODUCT((ISNUMBER(SEARCH($B3,Summer!$B$4:$B$100)))*(LEFT(TRIM(Summer!$E$3:$CE$3),LEN(TRIM(K$2)))=TRIM(K$2))*IFERROR(Summer!$E$4:$CE$100,0)),0)+IFERROR(SUMPRODUCT((ISNUMBER(SEARCH($B3,Julie!$B$4:$B$100)))*(LEFT(TRIM(Julie!$E$3:$CE$3),LEN(TRIM(K$2)))=TRIM(K$2))*IFERROR(Julie!$E$4:$CE$100,0)),0)+IFERROR(SUMPRODUCT((ISNUMBER(SEARCH($B3,Jiao!$B$4:$B$100)))*(LEFT(TRIM(Jiao!$E$3:$CE$3),LEN(TRIM(K$2)))=TRIM(K$2))*IFERROR(Jiao!$E$4:$CE$100,0)),0)</f>
      </c>
    </row>
    <row r="4" spans="1:11">
      <c r="A4" s="62">
        <v>2</v>
      </c>
      <c r="B4" s="28" t="s">
        <v>169</v>
      </c>
      <c r="C4" s="28" t="s">
        <v>101</v>
      </c>
      <c r="D4" s="28" t="s">
        <v>102</v>
      </c>
      <c r="E4" s="41">
        <f>=IFERROR(SUMPRODUCT((ISNUMBER(SEARCH($B4,KeDa!$B$4:$B$100)))*(LEFT(TRIM(KeDa!$E$3:$CE$3),LEN(TRIM(E$2)))=TRIM(E$2))*IFERROR(KeDa!$E$4:$CE$100,0)),0)+IFERROR(SUMPRODUCT((ISNUMBER(SEARCH($B4,Tank!$B$4:$B$100)))*(LEFT(TRIM(Tank!$E$3:$CE$3),LEN(TRIM(E$2)))=TRIM(E$2))*IFERROR(Tank!$E$4:$CE$100,0)),0)+IFERROR(SUMPRODUCT((ISNUMBER(SEARCH($B4,Richard!$B$4:$B$100)))*(LEFT(TRIM(Richard!$E$3:$CE$3),LEN(TRIM(E$2)))=TRIM(E$2))*IFERROR(Richard!$E$4:$CE$100,0)),0)+IFERROR(SUMPRODUCT((ISNUMBER(SEARCH($B4,Jenny!$B$4:$B$100)))*(LEFT(TRIM(Jenny!$E$3:$CE$3),LEN(TRIM(E$2)))=TRIM(E$2))*IFERROR(Jenny!$E$4:$CE$100,0)),0)+IFERROR(SUMPRODUCT((ISNUMBER(SEARCH($B4,Cooper!$B$4:$B$100)))*(LEFT(TRIM(Cooper!$E$3:$CE$3),LEN(TRIM(E$2)))=TRIM(E$2))*IFERROR(Cooper!$E$4:$CE$100,0)),0)+IFERROR(SUMPRODUCT((ISNUMBER(SEARCH($B4,Summer!$B$4:$B$100)))*(LEFT(TRIM(Summer!$E$3:$CE$3),LEN(TRIM(E$2)))=TRIM(E$2))*IFERROR(Summer!$E$4:$CE$100,0)),0)+IFERROR(SUMPRODUCT((ISNUMBER(SEARCH($B4,Julie!$B$4:$B$100)))*(LEFT(TRIM(Julie!$E$3:$CE$3),LEN(TRIM(E$2)))=TRIM(E$2))*IFERROR(Julie!$E$4:$CE$100,0)),0)+IFERROR(SUMPRODUCT((ISNUMBER(SEARCH($B4,Jiao!$B$4:$B$100)))*(LEFT(TRIM(Jiao!$E$3:$CE$3),LEN(TRIM(E$2)))=TRIM(E$2))*IFERROR(Jiao!$E$4:$CE$100,0)),0)</f>
      </c>
      <c r="F4" s="41">
        <f>=IFERROR(SUMPRODUCT((ISNUMBER(SEARCH($B4,KeDa!$B$4:$B$100)))*(LEFT(TRIM(KeDa!$E$3:$CE$3),LEN(TRIM(F$2)))=TRIM(F$2))*IFERROR(KeDa!$E$4:$CE$100,0)),0)+IFERROR(SUMPRODUCT((ISNUMBER(SEARCH($B4,Tank!$B$4:$B$100)))*(LEFT(TRIM(Tank!$E$3:$CE$3),LEN(TRIM(F$2)))=TRIM(F$2))*IFERROR(Tank!$E$4:$CE$100,0)),0)+IFERROR(SUMPRODUCT((ISNUMBER(SEARCH($B4,Richard!$B$4:$B$100)))*(LEFT(TRIM(Richard!$E$3:$CE$3),LEN(TRIM(F$2)))=TRIM(F$2))*IFERROR(Richard!$E$4:$CE$100,0)),0)+IFERROR(SUMPRODUCT((ISNUMBER(SEARCH($B4,Jenny!$B$4:$B$100)))*(LEFT(TRIM(Jenny!$E$3:$CE$3),LEN(TRIM(F$2)))=TRIM(F$2))*IFERROR(Jenny!$E$4:$CE$100,0)),0)+IFERROR(SUMPRODUCT((ISNUMBER(SEARCH($B4,Cooper!$B$4:$B$100)))*(LEFT(TRIM(Cooper!$E$3:$CE$3),LEN(TRIM(F$2)))=TRIM(F$2))*IFERROR(Cooper!$E$4:$CE$100,0)),0)+IFERROR(SUMPRODUCT((ISNUMBER(SEARCH($B4,Summer!$B$4:$B$100)))*(LEFT(TRIM(Summer!$E$3:$CE$3),LEN(TRIM(F$2)))=TRIM(F$2))*IFERROR(Summer!$E$4:$CE$100,0)),0)+IFERROR(SUMPRODUCT((ISNUMBER(SEARCH($B4,Julie!$B$4:$B$100)))*(LEFT(TRIM(Julie!$E$3:$CE$3),LEN(TRIM(F$2)))=TRIM(F$2))*IFERROR(Julie!$E$4:$CE$100,0)),0)+IFERROR(SUMPRODUCT((ISNUMBER(SEARCH($B4,Jiao!$B$4:$B$100)))*(LEFT(TRIM(Jiao!$E$3:$CE$3),LEN(TRIM(F$2)))=TRIM(F$2))*IFERROR(Jiao!$E$4:$CE$100,0)),0)</f>
      </c>
      <c r="G4" s="41">
        <f>=IFERROR(SUMPRODUCT((ISNUMBER(SEARCH($B4,KeDa!$B$4:$B$100)))*(LEFT(TRIM(KeDa!$E$3:$CE$3),LEN(TRIM(G$2)))=TRIM(G$2))*IFERROR(KeDa!$E$4:$CE$100,0)),0)+IFERROR(SUMPRODUCT((ISNUMBER(SEARCH($B4,Tank!$B$4:$B$100)))*(LEFT(TRIM(Tank!$E$3:$CE$3),LEN(TRIM(G$2)))=TRIM(G$2))*IFERROR(Tank!$E$4:$CE$100,0)),0)+IFERROR(SUMPRODUCT((ISNUMBER(SEARCH($B4,Richard!$B$4:$B$100)))*(LEFT(TRIM(Richard!$E$3:$CE$3),LEN(TRIM(G$2)))=TRIM(G$2))*IFERROR(Richard!$E$4:$CE$100,0)),0)+IFERROR(SUMPRODUCT((ISNUMBER(SEARCH($B4,Jenny!$B$4:$B$100)))*(LEFT(TRIM(Jenny!$E$3:$CE$3),LEN(TRIM(G$2)))=TRIM(G$2))*IFERROR(Jenny!$E$4:$CE$100,0)),0)+IFERROR(SUMPRODUCT((ISNUMBER(SEARCH($B4,Cooper!$B$4:$B$100)))*(LEFT(TRIM(Cooper!$E$3:$CE$3),LEN(TRIM(G$2)))=TRIM(G$2))*IFERROR(Cooper!$E$4:$CE$100,0)),0)+IFERROR(SUMPRODUCT((ISNUMBER(SEARCH($B4,Summer!$B$4:$B$100)))*(LEFT(TRIM(Summer!$E$3:$CE$3),LEN(TRIM(G$2)))=TRIM(G$2))*IFERROR(Summer!$E$4:$CE$100,0)),0)+IFERROR(SUMPRODUCT((ISNUMBER(SEARCH($B4,Julie!$B$4:$B$100)))*(LEFT(TRIM(Julie!$E$3:$CE$3),LEN(TRIM(G$2)))=TRIM(G$2))*IFERROR(Julie!$E$4:$CE$100,0)),0)+IFERROR(SUMPRODUCT((ISNUMBER(SEARCH($B4,Jiao!$B$4:$B$100)))*(LEFT(TRIM(Jiao!$E$3:$CE$3),LEN(TRIM(G$2)))=TRIM(G$2))*IFERROR(Jiao!$E$4:$CE$100,0)),0)</f>
      </c>
      <c r="H4" s="41">
        <f>=IFERROR(SUMPRODUCT((ISNUMBER(SEARCH($B4,KeDa!$B$4:$B$100)))*(LEFT(TRIM(KeDa!$E$3:$CE$3),LEN(TRIM(H$2)))=TRIM(H$2))*IFERROR(KeDa!$E$4:$CE$100,0)),0)+IFERROR(SUMPRODUCT((ISNUMBER(SEARCH($B4,Tank!$B$4:$B$100)))*(LEFT(TRIM(Tank!$E$3:$CE$3),LEN(TRIM(H$2)))=TRIM(H$2))*IFERROR(Tank!$E$4:$CE$100,0)),0)+IFERROR(SUMPRODUCT((ISNUMBER(SEARCH($B4,Richard!$B$4:$B$100)))*(LEFT(TRIM(Richard!$E$3:$CE$3),LEN(TRIM(H$2)))=TRIM(H$2))*IFERROR(Richard!$E$4:$CE$100,0)),0)+IFERROR(SUMPRODUCT((ISNUMBER(SEARCH($B4,Jenny!$B$4:$B$100)))*(LEFT(TRIM(Jenny!$E$3:$CE$3),LEN(TRIM(H$2)))=TRIM(H$2))*IFERROR(Jenny!$E$4:$CE$100,0)),0)+IFERROR(SUMPRODUCT((ISNUMBER(SEARCH($B4,Cooper!$B$4:$B$100)))*(LEFT(TRIM(Cooper!$E$3:$CE$3),LEN(TRIM(H$2)))=TRIM(H$2))*IFERROR(Cooper!$E$4:$CE$100,0)),0)+IFERROR(SUMPRODUCT((ISNUMBER(SEARCH($B4,Summer!$B$4:$B$100)))*(LEFT(TRIM(Summer!$E$3:$CE$3),LEN(TRIM(H$2)))=TRIM(H$2))*IFERROR(Summer!$E$4:$CE$100,0)),0)+IFERROR(SUMPRODUCT((ISNUMBER(SEARCH($B4,Julie!$B$4:$B$100)))*(LEFT(TRIM(Julie!$E$3:$CE$3),LEN(TRIM(H$2)))=TRIM(H$2))*IFERROR(Julie!$E$4:$CE$100,0)),0)+IFERROR(SUMPRODUCT((ISNUMBER(SEARCH($B4,Jiao!$B$4:$B$100)))*(LEFT(TRIM(Jiao!$E$3:$CE$3),LEN(TRIM(H$2)))=TRIM(H$2))*IFERROR(Jiao!$E$4:$CE$100,0)),0)</f>
      </c>
      <c r="I4" s="41">
        <f>=IFERROR(SUMPRODUCT((ISNUMBER(SEARCH($B4,KeDa!$B$4:$B$100)))*(LEFT(TRIM(KeDa!$E$3:$CE$3),LEN(TRIM(I$2)))=TRIM(I$2))*IFERROR(KeDa!$E$4:$CE$100,0)),0)+IFERROR(SUMPRODUCT((ISNUMBER(SEARCH($B4,Tank!$B$4:$B$100)))*(LEFT(TRIM(Tank!$E$3:$CE$3),LEN(TRIM(I$2)))=TRIM(I$2))*IFERROR(Tank!$E$4:$CE$100,0)),0)+IFERROR(SUMPRODUCT((ISNUMBER(SEARCH($B4,Richard!$B$4:$B$100)))*(LEFT(TRIM(Richard!$E$3:$CE$3),LEN(TRIM(I$2)))=TRIM(I$2))*IFERROR(Richard!$E$4:$CE$100,0)),0)+IFERROR(SUMPRODUCT((ISNUMBER(SEARCH($B4,Jenny!$B$4:$B$100)))*(LEFT(TRIM(Jenny!$E$3:$CE$3),LEN(TRIM(I$2)))=TRIM(I$2))*IFERROR(Jenny!$E$4:$CE$100,0)),0)+IFERROR(SUMPRODUCT((ISNUMBER(SEARCH($B4,Cooper!$B$4:$B$100)))*(LEFT(TRIM(Cooper!$E$3:$CE$3),LEN(TRIM(I$2)))=TRIM(I$2))*IFERROR(Cooper!$E$4:$CE$100,0)),0)+IFERROR(SUMPRODUCT((ISNUMBER(SEARCH($B4,Summer!$B$4:$B$100)))*(LEFT(TRIM(Summer!$E$3:$CE$3),LEN(TRIM(I$2)))=TRIM(I$2))*IFERROR(Summer!$E$4:$CE$100,0)),0)+IFERROR(SUMPRODUCT((ISNUMBER(SEARCH($B4,Julie!$B$4:$B$100)))*(LEFT(TRIM(Julie!$E$3:$CE$3),LEN(TRIM(I$2)))=TRIM(I$2))*IFERROR(Julie!$E$4:$CE$100,0)),0)+IFERROR(SUMPRODUCT((ISNUMBER(SEARCH($B4,Jiao!$B$4:$B$100)))*(LEFT(TRIM(Jiao!$E$3:$CE$3),LEN(TRIM(I$2)))=TRIM(I$2))*IFERROR(Jiao!$E$4:$CE$100,0)),0)</f>
      </c>
      <c r="J4" s="41">
        <f>=IFERROR(SUMPRODUCT((ISNUMBER(SEARCH($B4,KeDa!$B$4:$B$100)))*(LEFT(TRIM(KeDa!$E$3:$CE$3),LEN(TRIM(J$2)))=TRIM(J$2))*IFERROR(KeDa!$E$4:$CE$100,0)),0)+IFERROR(SUMPRODUCT((ISNUMBER(SEARCH($B4,Tank!$B$4:$B$100)))*(LEFT(TRIM(Tank!$E$3:$CE$3),LEN(TRIM(J$2)))=TRIM(J$2))*IFERROR(Tank!$E$4:$CE$100,0)),0)+IFERROR(SUMPRODUCT((ISNUMBER(SEARCH($B4,Richard!$B$4:$B$100)))*(LEFT(TRIM(Richard!$E$3:$CE$3),LEN(TRIM(J$2)))=TRIM(J$2))*IFERROR(Richard!$E$4:$CE$100,0)),0)+IFERROR(SUMPRODUCT((ISNUMBER(SEARCH($B4,Jenny!$B$4:$B$100)))*(LEFT(TRIM(Jenny!$E$3:$CE$3),LEN(TRIM(J$2)))=TRIM(J$2))*IFERROR(Jenny!$E$4:$CE$100,0)),0)+IFERROR(SUMPRODUCT((ISNUMBER(SEARCH($B4,Cooper!$B$4:$B$100)))*(LEFT(TRIM(Cooper!$E$3:$CE$3),LEN(TRIM(J$2)))=TRIM(J$2))*IFERROR(Cooper!$E$4:$CE$100,0)),0)+IFERROR(SUMPRODUCT((ISNUMBER(SEARCH($B4,Summer!$B$4:$B$100)))*(LEFT(TRIM(Summer!$E$3:$CE$3),LEN(TRIM(J$2)))=TRIM(J$2))*IFERROR(Summer!$E$4:$CE$100,0)),0)+IFERROR(SUMPRODUCT((ISNUMBER(SEARCH($B4,Julie!$B$4:$B$100)))*(LEFT(TRIM(Julie!$E$3:$CE$3),LEN(TRIM(J$2)))=TRIM(J$2))*IFERROR(Julie!$E$4:$CE$100,0)),0)+IFERROR(SUMPRODUCT((ISNUMBER(SEARCH($B4,Jiao!$B$4:$B$100)))*(LEFT(TRIM(Jiao!$E$3:$CE$3),LEN(TRIM(J$2)))=TRIM(J$2))*IFERROR(Jiao!$E$4:$CE$100,0)),0)</f>
      </c>
      <c r="K4" s="41">
        <f>=IFERROR(SUMPRODUCT((ISNUMBER(SEARCH($B4,KeDa!$B$4:$B$100)))*(LEFT(TRIM(KeDa!$E$3:$CE$3),LEN(TRIM(K$2)))=TRIM(K$2))*IFERROR(KeDa!$E$4:$CE$100,0)),0)+IFERROR(SUMPRODUCT((ISNUMBER(SEARCH($B4,Tank!$B$4:$B$100)))*(LEFT(TRIM(Tank!$E$3:$CE$3),LEN(TRIM(K$2)))=TRIM(K$2))*IFERROR(Tank!$E$4:$CE$100,0)),0)+IFERROR(SUMPRODUCT((ISNUMBER(SEARCH($B4,Richard!$B$4:$B$100)))*(LEFT(TRIM(Richard!$E$3:$CE$3),LEN(TRIM(K$2)))=TRIM(K$2))*IFERROR(Richard!$E$4:$CE$100,0)),0)+IFERROR(SUMPRODUCT((ISNUMBER(SEARCH($B4,Jenny!$B$4:$B$100)))*(LEFT(TRIM(Jenny!$E$3:$CE$3),LEN(TRIM(K$2)))=TRIM(K$2))*IFERROR(Jenny!$E$4:$CE$100,0)),0)+IFERROR(SUMPRODUCT((ISNUMBER(SEARCH($B4,Cooper!$B$4:$B$100)))*(LEFT(TRIM(Cooper!$E$3:$CE$3),LEN(TRIM(K$2)))=TRIM(K$2))*IFERROR(Cooper!$E$4:$CE$100,0)),0)+IFERROR(SUMPRODUCT((ISNUMBER(SEARCH($B4,Summer!$B$4:$B$100)))*(LEFT(TRIM(Summer!$E$3:$CE$3),LEN(TRIM(K$2)))=TRIM(K$2))*IFERROR(Summer!$E$4:$CE$100,0)),0)+IFERROR(SUMPRODUCT((ISNUMBER(SEARCH($B4,Julie!$B$4:$B$100)))*(LEFT(TRIM(Julie!$E$3:$CE$3),LEN(TRIM(K$2)))=TRIM(K$2))*IFERROR(Julie!$E$4:$CE$100,0)),0)+IFERROR(SUMPRODUCT((ISNUMBER(SEARCH($B4,Jiao!$B$4:$B$100)))*(LEFT(TRIM(Jiao!$E$3:$CE$3),LEN(TRIM(K$2)))=TRIM(K$2))*IFERROR(Jiao!$E$4:$CE$100,0)),0)</f>
      </c>
    </row>
    <row r="5" spans="1:11">
      <c r="A5" s="62">
        <v>3</v>
      </c>
      <c r="B5" s="28" t="s">
        <v>170</v>
      </c>
      <c r="C5" s="28" t="s">
        <v>103</v>
      </c>
      <c r="D5" s="28" t="s">
        <v>102</v>
      </c>
      <c r="E5" s="41">
        <f>=IFERROR(SUMPRODUCT((ISNUMBER(SEARCH($B5,KeDa!$B$4:$B$100)))*(LEFT(TRIM(KeDa!$E$3:$CE$3),LEN(TRIM(E$2)))=TRIM(E$2))*IFERROR(KeDa!$E$4:$CE$100,0)),0)+IFERROR(SUMPRODUCT((ISNUMBER(SEARCH($B5,Tank!$B$4:$B$100)))*(LEFT(TRIM(Tank!$E$3:$CE$3),LEN(TRIM(E$2)))=TRIM(E$2))*IFERROR(Tank!$E$4:$CE$100,0)),0)+IFERROR(SUMPRODUCT((ISNUMBER(SEARCH($B5,Richard!$B$4:$B$100)))*(LEFT(TRIM(Richard!$E$3:$CE$3),LEN(TRIM(E$2)))=TRIM(E$2))*IFERROR(Richard!$E$4:$CE$100,0)),0)+IFERROR(SUMPRODUCT((ISNUMBER(SEARCH($B5,Jenny!$B$4:$B$100)))*(LEFT(TRIM(Jenny!$E$3:$CE$3),LEN(TRIM(E$2)))=TRIM(E$2))*IFERROR(Jenny!$E$4:$CE$100,0)),0)+IFERROR(SUMPRODUCT((ISNUMBER(SEARCH($B5,Cooper!$B$4:$B$100)))*(LEFT(TRIM(Cooper!$E$3:$CE$3),LEN(TRIM(E$2)))=TRIM(E$2))*IFERROR(Cooper!$E$4:$CE$100,0)),0)+IFERROR(SUMPRODUCT((ISNUMBER(SEARCH($B5,Summer!$B$4:$B$100)))*(LEFT(TRIM(Summer!$E$3:$CE$3),LEN(TRIM(E$2)))=TRIM(E$2))*IFERROR(Summer!$E$4:$CE$100,0)),0)+IFERROR(SUMPRODUCT((ISNUMBER(SEARCH($B5,Julie!$B$4:$B$100)))*(LEFT(TRIM(Julie!$E$3:$CE$3),LEN(TRIM(E$2)))=TRIM(E$2))*IFERROR(Julie!$E$4:$CE$100,0)),0)+IFERROR(SUMPRODUCT((ISNUMBER(SEARCH($B5,Jiao!$B$4:$B$100)))*(LEFT(TRIM(Jiao!$E$3:$CE$3),LEN(TRIM(E$2)))=TRIM(E$2))*IFERROR(Jiao!$E$4:$CE$100,0)),0)</f>
      </c>
      <c r="F5" s="41">
        <f>=IFERROR(SUMPRODUCT((ISNUMBER(SEARCH($B5,KeDa!$B$4:$B$100)))*(LEFT(TRIM(KeDa!$E$3:$CE$3),LEN(TRIM(F$2)))=TRIM(F$2))*IFERROR(KeDa!$E$4:$CE$100,0)),0)+IFERROR(SUMPRODUCT((ISNUMBER(SEARCH($B5,Tank!$B$4:$B$100)))*(LEFT(TRIM(Tank!$E$3:$CE$3),LEN(TRIM(F$2)))=TRIM(F$2))*IFERROR(Tank!$E$4:$CE$100,0)),0)+IFERROR(SUMPRODUCT((ISNUMBER(SEARCH($B5,Richard!$B$4:$B$100)))*(LEFT(TRIM(Richard!$E$3:$CE$3),LEN(TRIM(F$2)))=TRIM(F$2))*IFERROR(Richard!$E$4:$CE$100,0)),0)+IFERROR(SUMPRODUCT((ISNUMBER(SEARCH($B5,Jenny!$B$4:$B$100)))*(LEFT(TRIM(Jenny!$E$3:$CE$3),LEN(TRIM(F$2)))=TRIM(F$2))*IFERROR(Jenny!$E$4:$CE$100,0)),0)+IFERROR(SUMPRODUCT((ISNUMBER(SEARCH($B5,Cooper!$B$4:$B$100)))*(LEFT(TRIM(Cooper!$E$3:$CE$3),LEN(TRIM(F$2)))=TRIM(F$2))*IFERROR(Cooper!$E$4:$CE$100,0)),0)+IFERROR(SUMPRODUCT((ISNUMBER(SEARCH($B5,Summer!$B$4:$B$100)))*(LEFT(TRIM(Summer!$E$3:$CE$3),LEN(TRIM(F$2)))=TRIM(F$2))*IFERROR(Summer!$E$4:$CE$100,0)),0)+IFERROR(SUMPRODUCT((ISNUMBER(SEARCH($B5,Julie!$B$4:$B$100)))*(LEFT(TRIM(Julie!$E$3:$CE$3),LEN(TRIM(F$2)))=TRIM(F$2))*IFERROR(Julie!$E$4:$CE$100,0)),0)+IFERROR(SUMPRODUCT((ISNUMBER(SEARCH($B5,Jiao!$B$4:$B$100)))*(LEFT(TRIM(Jiao!$E$3:$CE$3),LEN(TRIM(F$2)))=TRIM(F$2))*IFERROR(Jiao!$E$4:$CE$100,0)),0)</f>
      </c>
      <c r="G5" s="41">
        <f>=IFERROR(SUMPRODUCT((ISNUMBER(SEARCH($B5,KeDa!$B$4:$B$100)))*(LEFT(TRIM(KeDa!$E$3:$CE$3),LEN(TRIM(G$2)))=TRIM(G$2))*IFERROR(KeDa!$E$4:$CE$100,0)),0)+IFERROR(SUMPRODUCT((ISNUMBER(SEARCH($B5,Tank!$B$4:$B$100)))*(LEFT(TRIM(Tank!$E$3:$CE$3),LEN(TRIM(G$2)))=TRIM(G$2))*IFERROR(Tank!$E$4:$CE$100,0)),0)+IFERROR(SUMPRODUCT((ISNUMBER(SEARCH($B5,Richard!$B$4:$B$100)))*(LEFT(TRIM(Richard!$E$3:$CE$3),LEN(TRIM(G$2)))=TRIM(G$2))*IFERROR(Richard!$E$4:$CE$100,0)),0)+IFERROR(SUMPRODUCT((ISNUMBER(SEARCH($B5,Jenny!$B$4:$B$100)))*(LEFT(TRIM(Jenny!$E$3:$CE$3),LEN(TRIM(G$2)))=TRIM(G$2))*IFERROR(Jenny!$E$4:$CE$100,0)),0)+IFERROR(SUMPRODUCT((ISNUMBER(SEARCH($B5,Cooper!$B$4:$B$100)))*(LEFT(TRIM(Cooper!$E$3:$CE$3),LEN(TRIM(G$2)))=TRIM(G$2))*IFERROR(Cooper!$E$4:$CE$100,0)),0)+IFERROR(SUMPRODUCT((ISNUMBER(SEARCH($B5,Summer!$B$4:$B$100)))*(LEFT(TRIM(Summer!$E$3:$CE$3),LEN(TRIM(G$2)))=TRIM(G$2))*IFERROR(Summer!$E$4:$CE$100,0)),0)+IFERROR(SUMPRODUCT((ISNUMBER(SEARCH($B5,Julie!$B$4:$B$100)))*(LEFT(TRIM(Julie!$E$3:$CE$3),LEN(TRIM(G$2)))=TRIM(G$2))*IFERROR(Julie!$E$4:$CE$100,0)),0)+IFERROR(SUMPRODUCT((ISNUMBER(SEARCH($B5,Jiao!$B$4:$B$100)))*(LEFT(TRIM(Jiao!$E$3:$CE$3),LEN(TRIM(G$2)))=TRIM(G$2))*IFERROR(Jiao!$E$4:$CE$100,0)),0)</f>
      </c>
      <c r="H5" s="41">
        <f>=IFERROR(SUMPRODUCT((ISNUMBER(SEARCH($B5,KeDa!$B$4:$B$100)))*(LEFT(TRIM(KeDa!$E$3:$CE$3),LEN(TRIM(H$2)))=TRIM(H$2))*IFERROR(KeDa!$E$4:$CE$100,0)),0)+IFERROR(SUMPRODUCT((ISNUMBER(SEARCH($B5,Tank!$B$4:$B$100)))*(LEFT(TRIM(Tank!$E$3:$CE$3),LEN(TRIM(H$2)))=TRIM(H$2))*IFERROR(Tank!$E$4:$CE$100,0)),0)+IFERROR(SUMPRODUCT((ISNUMBER(SEARCH($B5,Richard!$B$4:$B$100)))*(LEFT(TRIM(Richard!$E$3:$CE$3),LEN(TRIM(H$2)))=TRIM(H$2))*IFERROR(Richard!$E$4:$CE$100,0)),0)+IFERROR(SUMPRODUCT((ISNUMBER(SEARCH($B5,Jenny!$B$4:$B$100)))*(LEFT(TRIM(Jenny!$E$3:$CE$3),LEN(TRIM(H$2)))=TRIM(H$2))*IFERROR(Jenny!$E$4:$CE$100,0)),0)+IFERROR(SUMPRODUCT((ISNUMBER(SEARCH($B5,Cooper!$B$4:$B$100)))*(LEFT(TRIM(Cooper!$E$3:$CE$3),LEN(TRIM(H$2)))=TRIM(H$2))*IFERROR(Cooper!$E$4:$CE$100,0)),0)+IFERROR(SUMPRODUCT((ISNUMBER(SEARCH($B5,Summer!$B$4:$B$100)))*(LEFT(TRIM(Summer!$E$3:$CE$3),LEN(TRIM(H$2)))=TRIM(H$2))*IFERROR(Summer!$E$4:$CE$100,0)),0)+IFERROR(SUMPRODUCT((ISNUMBER(SEARCH($B5,Julie!$B$4:$B$100)))*(LEFT(TRIM(Julie!$E$3:$CE$3),LEN(TRIM(H$2)))=TRIM(H$2))*IFERROR(Julie!$E$4:$CE$100,0)),0)+IFERROR(SUMPRODUCT((ISNUMBER(SEARCH($B5,Jiao!$B$4:$B$100)))*(LEFT(TRIM(Jiao!$E$3:$CE$3),LEN(TRIM(H$2)))=TRIM(H$2))*IFERROR(Jiao!$E$4:$CE$100,0)),0)</f>
      </c>
      <c r="I5" s="41">
        <f>=IFERROR(SUMPRODUCT((ISNUMBER(SEARCH($B5,KeDa!$B$4:$B$100)))*(LEFT(TRIM(KeDa!$E$3:$CE$3),LEN(TRIM(I$2)))=TRIM(I$2))*IFERROR(KeDa!$E$4:$CE$100,0)),0)+IFERROR(SUMPRODUCT((ISNUMBER(SEARCH($B5,Tank!$B$4:$B$100)))*(LEFT(TRIM(Tank!$E$3:$CE$3),LEN(TRIM(I$2)))=TRIM(I$2))*IFERROR(Tank!$E$4:$CE$100,0)),0)+IFERROR(SUMPRODUCT((ISNUMBER(SEARCH($B5,Richard!$B$4:$B$100)))*(LEFT(TRIM(Richard!$E$3:$CE$3),LEN(TRIM(I$2)))=TRIM(I$2))*IFERROR(Richard!$E$4:$CE$100,0)),0)+IFERROR(SUMPRODUCT((ISNUMBER(SEARCH($B5,Jenny!$B$4:$B$100)))*(LEFT(TRIM(Jenny!$E$3:$CE$3),LEN(TRIM(I$2)))=TRIM(I$2))*IFERROR(Jenny!$E$4:$CE$100,0)),0)+IFERROR(SUMPRODUCT((ISNUMBER(SEARCH($B5,Cooper!$B$4:$B$100)))*(LEFT(TRIM(Cooper!$E$3:$CE$3),LEN(TRIM(I$2)))=TRIM(I$2))*IFERROR(Cooper!$E$4:$CE$100,0)),0)+IFERROR(SUMPRODUCT((ISNUMBER(SEARCH($B5,Summer!$B$4:$B$100)))*(LEFT(TRIM(Summer!$E$3:$CE$3),LEN(TRIM(I$2)))=TRIM(I$2))*IFERROR(Summer!$E$4:$CE$100,0)),0)+IFERROR(SUMPRODUCT((ISNUMBER(SEARCH($B5,Julie!$B$4:$B$100)))*(LEFT(TRIM(Julie!$E$3:$CE$3),LEN(TRIM(I$2)))=TRIM(I$2))*IFERROR(Julie!$E$4:$CE$100,0)),0)+IFERROR(SUMPRODUCT((ISNUMBER(SEARCH($B5,Jiao!$B$4:$B$100)))*(LEFT(TRIM(Jiao!$E$3:$CE$3),LEN(TRIM(I$2)))=TRIM(I$2))*IFERROR(Jiao!$E$4:$CE$100,0)),0)</f>
      </c>
      <c r="J5" s="41">
        <f>=IFERROR(SUMPRODUCT((ISNUMBER(SEARCH($B5,KeDa!$B$4:$B$100)))*(LEFT(TRIM(KeDa!$E$3:$CE$3),LEN(TRIM(J$2)))=TRIM(J$2))*IFERROR(KeDa!$E$4:$CE$100,0)),0)+IFERROR(SUMPRODUCT((ISNUMBER(SEARCH($B5,Tank!$B$4:$B$100)))*(LEFT(TRIM(Tank!$E$3:$CE$3),LEN(TRIM(J$2)))=TRIM(J$2))*IFERROR(Tank!$E$4:$CE$100,0)),0)+IFERROR(SUMPRODUCT((ISNUMBER(SEARCH($B5,Richard!$B$4:$B$100)))*(LEFT(TRIM(Richard!$E$3:$CE$3),LEN(TRIM(J$2)))=TRIM(J$2))*IFERROR(Richard!$E$4:$CE$100,0)),0)+IFERROR(SUMPRODUCT((ISNUMBER(SEARCH($B5,Jenny!$B$4:$B$100)))*(LEFT(TRIM(Jenny!$E$3:$CE$3),LEN(TRIM(J$2)))=TRIM(J$2))*IFERROR(Jenny!$E$4:$CE$100,0)),0)+IFERROR(SUMPRODUCT((ISNUMBER(SEARCH($B5,Cooper!$B$4:$B$100)))*(LEFT(TRIM(Cooper!$E$3:$CE$3),LEN(TRIM(J$2)))=TRIM(J$2))*IFERROR(Cooper!$E$4:$CE$100,0)),0)+IFERROR(SUMPRODUCT((ISNUMBER(SEARCH($B5,Summer!$B$4:$B$100)))*(LEFT(TRIM(Summer!$E$3:$CE$3),LEN(TRIM(J$2)))=TRIM(J$2))*IFERROR(Summer!$E$4:$CE$100,0)),0)+IFERROR(SUMPRODUCT((ISNUMBER(SEARCH($B5,Julie!$B$4:$B$100)))*(LEFT(TRIM(Julie!$E$3:$CE$3),LEN(TRIM(J$2)))=TRIM(J$2))*IFERROR(Julie!$E$4:$CE$100,0)),0)+IFERROR(SUMPRODUCT((ISNUMBER(SEARCH($B5,Jiao!$B$4:$B$100)))*(LEFT(TRIM(Jiao!$E$3:$CE$3),LEN(TRIM(J$2)))=TRIM(J$2))*IFERROR(Jiao!$E$4:$CE$100,0)),0)</f>
      </c>
      <c r="K5" s="41">
        <f>=IFERROR(SUMPRODUCT((ISNUMBER(SEARCH($B5,KeDa!$B$4:$B$100)))*(LEFT(TRIM(KeDa!$E$3:$CE$3),LEN(TRIM(K$2)))=TRIM(K$2))*IFERROR(KeDa!$E$4:$CE$100,0)),0)+IFERROR(SUMPRODUCT((ISNUMBER(SEARCH($B5,Tank!$B$4:$B$100)))*(LEFT(TRIM(Tank!$E$3:$CE$3),LEN(TRIM(K$2)))=TRIM(K$2))*IFERROR(Tank!$E$4:$CE$100,0)),0)+IFERROR(SUMPRODUCT((ISNUMBER(SEARCH($B5,Richard!$B$4:$B$100)))*(LEFT(TRIM(Richard!$E$3:$CE$3),LEN(TRIM(K$2)))=TRIM(K$2))*IFERROR(Richard!$E$4:$CE$100,0)),0)+IFERROR(SUMPRODUCT((ISNUMBER(SEARCH($B5,Jenny!$B$4:$B$100)))*(LEFT(TRIM(Jenny!$E$3:$CE$3),LEN(TRIM(K$2)))=TRIM(K$2))*IFERROR(Jenny!$E$4:$CE$100,0)),0)+IFERROR(SUMPRODUCT((ISNUMBER(SEARCH($B5,Cooper!$B$4:$B$100)))*(LEFT(TRIM(Cooper!$E$3:$CE$3),LEN(TRIM(K$2)))=TRIM(K$2))*IFERROR(Cooper!$E$4:$CE$100,0)),0)+IFERROR(SUMPRODUCT((ISNUMBER(SEARCH($B5,Summer!$B$4:$B$100)))*(LEFT(TRIM(Summer!$E$3:$CE$3),LEN(TRIM(K$2)))=TRIM(K$2))*IFERROR(Summer!$E$4:$CE$100,0)),0)+IFERROR(SUMPRODUCT((ISNUMBER(SEARCH($B5,Julie!$B$4:$B$100)))*(LEFT(TRIM(Julie!$E$3:$CE$3),LEN(TRIM(K$2)))=TRIM(K$2))*IFERROR(Julie!$E$4:$CE$100,0)),0)+IFERROR(SUMPRODUCT((ISNUMBER(SEARCH($B5,Jiao!$B$4:$B$100)))*(LEFT(TRIM(Jiao!$E$3:$CE$3),LEN(TRIM(K$2)))=TRIM(K$2))*IFERROR(Jiao!$E$4:$CE$100,0)),0)</f>
      </c>
    </row>
    <row r="6" spans="1:11">
      <c r="A6" s="62">
        <v>4</v>
      </c>
      <c r="B6" s="28" t="s">
        <v>176</v>
      </c>
      <c r="C6" s="28" t="s">
        <v>104</v>
      </c>
      <c r="D6" s="28" t="s">
        <v>102</v>
      </c>
      <c r="E6" s="41">
        <f>=IFERROR(SUMPRODUCT((ISNUMBER(SEARCH($B6,KeDa!$B$4:$B$100)))*(LEFT(TRIM(KeDa!$E$3:$CE$3),LEN(TRIM(E$2)))=TRIM(E$2))*IFERROR(KeDa!$E$4:$CE$100,0)),0)+IFERROR(SUMPRODUCT((ISNUMBER(SEARCH($B6,Tank!$B$4:$B$100)))*(LEFT(TRIM(Tank!$E$3:$CE$3),LEN(TRIM(E$2)))=TRIM(E$2))*IFERROR(Tank!$E$4:$CE$100,0)),0)+IFERROR(SUMPRODUCT((ISNUMBER(SEARCH($B6,Richard!$B$4:$B$100)))*(LEFT(TRIM(Richard!$E$3:$CE$3),LEN(TRIM(E$2)))=TRIM(E$2))*IFERROR(Richard!$E$4:$CE$100,0)),0)+IFERROR(SUMPRODUCT((ISNUMBER(SEARCH($B6,Jenny!$B$4:$B$100)))*(LEFT(TRIM(Jenny!$E$3:$CE$3),LEN(TRIM(E$2)))=TRIM(E$2))*IFERROR(Jenny!$E$4:$CE$100,0)),0)+IFERROR(SUMPRODUCT((ISNUMBER(SEARCH($B6,Cooper!$B$4:$B$100)))*(LEFT(TRIM(Cooper!$E$3:$CE$3),LEN(TRIM(E$2)))=TRIM(E$2))*IFERROR(Cooper!$E$4:$CE$100,0)),0)+IFERROR(SUMPRODUCT((ISNUMBER(SEARCH($B6,Summer!$B$4:$B$100)))*(LEFT(TRIM(Summer!$E$3:$CE$3),LEN(TRIM(E$2)))=TRIM(E$2))*IFERROR(Summer!$E$4:$CE$100,0)),0)+IFERROR(SUMPRODUCT((ISNUMBER(SEARCH($B6,Julie!$B$4:$B$100)))*(LEFT(TRIM(Julie!$E$3:$CE$3),LEN(TRIM(E$2)))=TRIM(E$2))*IFERROR(Julie!$E$4:$CE$100,0)),0)+IFERROR(SUMPRODUCT((ISNUMBER(SEARCH($B6,Jiao!$B$4:$B$100)))*(LEFT(TRIM(Jiao!$E$3:$CE$3),LEN(TRIM(E$2)))=TRIM(E$2))*IFERROR(Jiao!$E$4:$CE$100,0)),0)</f>
      </c>
      <c r="F6" s="41">
        <f>=IFERROR(SUMPRODUCT((ISNUMBER(SEARCH($B6,KeDa!$B$4:$B$100)))*(LEFT(TRIM(KeDa!$E$3:$CE$3),LEN(TRIM(F$2)))=TRIM(F$2))*IFERROR(KeDa!$E$4:$CE$100,0)),0)+IFERROR(SUMPRODUCT((ISNUMBER(SEARCH($B6,Tank!$B$4:$B$100)))*(LEFT(TRIM(Tank!$E$3:$CE$3),LEN(TRIM(F$2)))=TRIM(F$2))*IFERROR(Tank!$E$4:$CE$100,0)),0)+IFERROR(SUMPRODUCT((ISNUMBER(SEARCH($B6,Richard!$B$4:$B$100)))*(LEFT(TRIM(Richard!$E$3:$CE$3),LEN(TRIM(F$2)))=TRIM(F$2))*IFERROR(Richard!$E$4:$CE$100,0)),0)+IFERROR(SUMPRODUCT((ISNUMBER(SEARCH($B6,Jenny!$B$4:$B$100)))*(LEFT(TRIM(Jenny!$E$3:$CE$3),LEN(TRIM(F$2)))=TRIM(F$2))*IFERROR(Jenny!$E$4:$CE$100,0)),0)+IFERROR(SUMPRODUCT((ISNUMBER(SEARCH($B6,Cooper!$B$4:$B$100)))*(LEFT(TRIM(Cooper!$E$3:$CE$3),LEN(TRIM(F$2)))=TRIM(F$2))*IFERROR(Cooper!$E$4:$CE$100,0)),0)+IFERROR(SUMPRODUCT((ISNUMBER(SEARCH($B6,Summer!$B$4:$B$100)))*(LEFT(TRIM(Summer!$E$3:$CE$3),LEN(TRIM(F$2)))=TRIM(F$2))*IFERROR(Summer!$E$4:$CE$100,0)),0)+IFERROR(SUMPRODUCT((ISNUMBER(SEARCH($B6,Julie!$B$4:$B$100)))*(LEFT(TRIM(Julie!$E$3:$CE$3),LEN(TRIM(F$2)))=TRIM(F$2))*IFERROR(Julie!$E$4:$CE$100,0)),0)+IFERROR(SUMPRODUCT((ISNUMBER(SEARCH($B6,Jiao!$B$4:$B$100)))*(LEFT(TRIM(Jiao!$E$3:$CE$3),LEN(TRIM(F$2)))=TRIM(F$2))*IFERROR(Jiao!$E$4:$CE$100,0)),0)</f>
      </c>
      <c r="G6" s="41">
        <f>=IFERROR(SUMPRODUCT((ISNUMBER(SEARCH($B6,KeDa!$B$4:$B$100)))*(LEFT(TRIM(KeDa!$E$3:$CE$3),LEN(TRIM(G$2)))=TRIM(G$2))*IFERROR(KeDa!$E$4:$CE$100,0)),0)+IFERROR(SUMPRODUCT((ISNUMBER(SEARCH($B6,Tank!$B$4:$B$100)))*(LEFT(TRIM(Tank!$E$3:$CE$3),LEN(TRIM(G$2)))=TRIM(G$2))*IFERROR(Tank!$E$4:$CE$100,0)),0)+IFERROR(SUMPRODUCT((ISNUMBER(SEARCH($B6,Richard!$B$4:$B$100)))*(LEFT(TRIM(Richard!$E$3:$CE$3),LEN(TRIM(G$2)))=TRIM(G$2))*IFERROR(Richard!$E$4:$CE$100,0)),0)+IFERROR(SUMPRODUCT((ISNUMBER(SEARCH($B6,Jenny!$B$4:$B$100)))*(LEFT(TRIM(Jenny!$E$3:$CE$3),LEN(TRIM(G$2)))=TRIM(G$2))*IFERROR(Jenny!$E$4:$CE$100,0)),0)+IFERROR(SUMPRODUCT((ISNUMBER(SEARCH($B6,Cooper!$B$4:$B$100)))*(LEFT(TRIM(Cooper!$E$3:$CE$3),LEN(TRIM(G$2)))=TRIM(G$2))*IFERROR(Cooper!$E$4:$CE$100,0)),0)+IFERROR(SUMPRODUCT((ISNUMBER(SEARCH($B6,Summer!$B$4:$B$100)))*(LEFT(TRIM(Summer!$E$3:$CE$3),LEN(TRIM(G$2)))=TRIM(G$2))*IFERROR(Summer!$E$4:$CE$100,0)),0)+IFERROR(SUMPRODUCT((ISNUMBER(SEARCH($B6,Julie!$B$4:$B$100)))*(LEFT(TRIM(Julie!$E$3:$CE$3),LEN(TRIM(G$2)))=TRIM(G$2))*IFERROR(Julie!$E$4:$CE$100,0)),0)+IFERROR(SUMPRODUCT((ISNUMBER(SEARCH($B6,Jiao!$B$4:$B$100)))*(LEFT(TRIM(Jiao!$E$3:$CE$3),LEN(TRIM(G$2)))=TRIM(G$2))*IFERROR(Jiao!$E$4:$CE$100,0)),0)</f>
      </c>
      <c r="H6" s="41">
        <f>=IFERROR(SUMPRODUCT((ISNUMBER(SEARCH($B6,KeDa!$B$4:$B$100)))*(LEFT(TRIM(KeDa!$E$3:$CE$3),LEN(TRIM(H$2)))=TRIM(H$2))*IFERROR(KeDa!$E$4:$CE$100,0)),0)+IFERROR(SUMPRODUCT((ISNUMBER(SEARCH($B6,Tank!$B$4:$B$100)))*(LEFT(TRIM(Tank!$E$3:$CE$3),LEN(TRIM(H$2)))=TRIM(H$2))*IFERROR(Tank!$E$4:$CE$100,0)),0)+IFERROR(SUMPRODUCT((ISNUMBER(SEARCH($B6,Richard!$B$4:$B$100)))*(LEFT(TRIM(Richard!$E$3:$CE$3),LEN(TRIM(H$2)))=TRIM(H$2))*IFERROR(Richard!$E$4:$CE$100,0)),0)+IFERROR(SUMPRODUCT((ISNUMBER(SEARCH($B6,Jenny!$B$4:$B$100)))*(LEFT(TRIM(Jenny!$E$3:$CE$3),LEN(TRIM(H$2)))=TRIM(H$2))*IFERROR(Jenny!$E$4:$CE$100,0)),0)+IFERROR(SUMPRODUCT((ISNUMBER(SEARCH($B6,Cooper!$B$4:$B$100)))*(LEFT(TRIM(Cooper!$E$3:$CE$3),LEN(TRIM(H$2)))=TRIM(H$2))*IFERROR(Cooper!$E$4:$CE$100,0)),0)+IFERROR(SUMPRODUCT((ISNUMBER(SEARCH($B6,Summer!$B$4:$B$100)))*(LEFT(TRIM(Summer!$E$3:$CE$3),LEN(TRIM(H$2)))=TRIM(H$2))*IFERROR(Summer!$E$4:$CE$100,0)),0)+IFERROR(SUMPRODUCT((ISNUMBER(SEARCH($B6,Julie!$B$4:$B$100)))*(LEFT(TRIM(Julie!$E$3:$CE$3),LEN(TRIM(H$2)))=TRIM(H$2))*IFERROR(Julie!$E$4:$CE$100,0)),0)+IFERROR(SUMPRODUCT((ISNUMBER(SEARCH($B6,Jiao!$B$4:$B$100)))*(LEFT(TRIM(Jiao!$E$3:$CE$3),LEN(TRIM(H$2)))=TRIM(H$2))*IFERROR(Jiao!$E$4:$CE$100,0)),0)</f>
      </c>
      <c r="I6" s="41">
        <f>=IFERROR(SUMPRODUCT((ISNUMBER(SEARCH($B6,KeDa!$B$4:$B$100)))*(LEFT(TRIM(KeDa!$E$3:$CE$3),LEN(TRIM(I$2)))=TRIM(I$2))*IFERROR(KeDa!$E$4:$CE$100,0)),0)+IFERROR(SUMPRODUCT((ISNUMBER(SEARCH($B6,Tank!$B$4:$B$100)))*(LEFT(TRIM(Tank!$E$3:$CE$3),LEN(TRIM(I$2)))=TRIM(I$2))*IFERROR(Tank!$E$4:$CE$100,0)),0)+IFERROR(SUMPRODUCT((ISNUMBER(SEARCH($B6,Richard!$B$4:$B$100)))*(LEFT(TRIM(Richard!$E$3:$CE$3),LEN(TRIM(I$2)))=TRIM(I$2))*IFERROR(Richard!$E$4:$CE$100,0)),0)+IFERROR(SUMPRODUCT((ISNUMBER(SEARCH($B6,Jenny!$B$4:$B$100)))*(LEFT(TRIM(Jenny!$E$3:$CE$3),LEN(TRIM(I$2)))=TRIM(I$2))*IFERROR(Jenny!$E$4:$CE$100,0)),0)+IFERROR(SUMPRODUCT((ISNUMBER(SEARCH($B6,Cooper!$B$4:$B$100)))*(LEFT(TRIM(Cooper!$E$3:$CE$3),LEN(TRIM(I$2)))=TRIM(I$2))*IFERROR(Cooper!$E$4:$CE$100,0)),0)+IFERROR(SUMPRODUCT((ISNUMBER(SEARCH($B6,Summer!$B$4:$B$100)))*(LEFT(TRIM(Summer!$E$3:$CE$3),LEN(TRIM(I$2)))=TRIM(I$2))*IFERROR(Summer!$E$4:$CE$100,0)),0)+IFERROR(SUMPRODUCT((ISNUMBER(SEARCH($B6,Julie!$B$4:$B$100)))*(LEFT(TRIM(Julie!$E$3:$CE$3),LEN(TRIM(I$2)))=TRIM(I$2))*IFERROR(Julie!$E$4:$CE$100,0)),0)+IFERROR(SUMPRODUCT((ISNUMBER(SEARCH($B6,Jiao!$B$4:$B$100)))*(LEFT(TRIM(Jiao!$E$3:$CE$3),LEN(TRIM(I$2)))=TRIM(I$2))*IFERROR(Jiao!$E$4:$CE$100,0)),0)</f>
      </c>
      <c r="J6" s="41">
        <f>=IFERROR(SUMPRODUCT((ISNUMBER(SEARCH($B6,KeDa!$B$4:$B$100)))*(LEFT(TRIM(KeDa!$E$3:$CE$3),LEN(TRIM(J$2)))=TRIM(J$2))*IFERROR(KeDa!$E$4:$CE$100,0)),0)+IFERROR(SUMPRODUCT((ISNUMBER(SEARCH($B6,Tank!$B$4:$B$100)))*(LEFT(TRIM(Tank!$E$3:$CE$3),LEN(TRIM(J$2)))=TRIM(J$2))*IFERROR(Tank!$E$4:$CE$100,0)),0)+IFERROR(SUMPRODUCT((ISNUMBER(SEARCH($B6,Richard!$B$4:$B$100)))*(LEFT(TRIM(Richard!$E$3:$CE$3),LEN(TRIM(J$2)))=TRIM(J$2))*IFERROR(Richard!$E$4:$CE$100,0)),0)+IFERROR(SUMPRODUCT((ISNUMBER(SEARCH($B6,Jenny!$B$4:$B$100)))*(LEFT(TRIM(Jenny!$E$3:$CE$3),LEN(TRIM(J$2)))=TRIM(J$2))*IFERROR(Jenny!$E$4:$CE$100,0)),0)+IFERROR(SUMPRODUCT((ISNUMBER(SEARCH($B6,Cooper!$B$4:$B$100)))*(LEFT(TRIM(Cooper!$E$3:$CE$3),LEN(TRIM(J$2)))=TRIM(J$2))*IFERROR(Cooper!$E$4:$CE$100,0)),0)+IFERROR(SUMPRODUCT((ISNUMBER(SEARCH($B6,Summer!$B$4:$B$100)))*(LEFT(TRIM(Summer!$E$3:$CE$3),LEN(TRIM(J$2)))=TRIM(J$2))*IFERROR(Summer!$E$4:$CE$100,0)),0)+IFERROR(SUMPRODUCT((ISNUMBER(SEARCH($B6,Julie!$B$4:$B$100)))*(LEFT(TRIM(Julie!$E$3:$CE$3),LEN(TRIM(J$2)))=TRIM(J$2))*IFERROR(Julie!$E$4:$CE$100,0)),0)+IFERROR(SUMPRODUCT((ISNUMBER(SEARCH($B6,Jiao!$B$4:$B$100)))*(LEFT(TRIM(Jiao!$E$3:$CE$3),LEN(TRIM(J$2)))=TRIM(J$2))*IFERROR(Jiao!$E$4:$CE$100,0)),0)</f>
      </c>
      <c r="K6" s="41">
        <f>=IFERROR(SUMPRODUCT((ISNUMBER(SEARCH($B6,KeDa!$B$4:$B$100)))*(LEFT(TRIM(KeDa!$E$3:$CE$3),LEN(TRIM(K$2)))=TRIM(K$2))*IFERROR(KeDa!$E$4:$CE$100,0)),0)+IFERROR(SUMPRODUCT((ISNUMBER(SEARCH($B6,Tank!$B$4:$B$100)))*(LEFT(TRIM(Tank!$E$3:$CE$3),LEN(TRIM(K$2)))=TRIM(K$2))*IFERROR(Tank!$E$4:$CE$100,0)),0)+IFERROR(SUMPRODUCT((ISNUMBER(SEARCH($B6,Richard!$B$4:$B$100)))*(LEFT(TRIM(Richard!$E$3:$CE$3),LEN(TRIM(K$2)))=TRIM(K$2))*IFERROR(Richard!$E$4:$CE$100,0)),0)+IFERROR(SUMPRODUCT((ISNUMBER(SEARCH($B6,Jenny!$B$4:$B$100)))*(LEFT(TRIM(Jenny!$E$3:$CE$3),LEN(TRIM(K$2)))=TRIM(K$2))*IFERROR(Jenny!$E$4:$CE$100,0)),0)+IFERROR(SUMPRODUCT((ISNUMBER(SEARCH($B6,Cooper!$B$4:$B$100)))*(LEFT(TRIM(Cooper!$E$3:$CE$3),LEN(TRIM(K$2)))=TRIM(K$2))*IFERROR(Cooper!$E$4:$CE$100,0)),0)+IFERROR(SUMPRODUCT((ISNUMBER(SEARCH($B6,Summer!$B$4:$B$100)))*(LEFT(TRIM(Summer!$E$3:$CE$3),LEN(TRIM(K$2)))=TRIM(K$2))*IFERROR(Summer!$E$4:$CE$100,0)),0)+IFERROR(SUMPRODUCT((ISNUMBER(SEARCH($B6,Julie!$B$4:$B$100)))*(LEFT(TRIM(Julie!$E$3:$CE$3),LEN(TRIM(K$2)))=TRIM(K$2))*IFERROR(Julie!$E$4:$CE$100,0)),0)+IFERROR(SUMPRODUCT((ISNUMBER(SEARCH($B6,Jiao!$B$4:$B$100)))*(LEFT(TRIM(Jiao!$E$3:$CE$3),LEN(TRIM(K$2)))=TRIM(K$2))*IFERROR(Jiao!$E$4:$CE$100,0)),0)</f>
      </c>
    </row>
    <row r="7" spans="1:11">
      <c r="A7" s="62">
        <v>5</v>
      </c>
      <c r="B7" s="28" t="s">
        <v>177</v>
      </c>
      <c r="C7" s="28" t="s">
        <v>105</v>
      </c>
      <c r="D7" s="28" t="s">
        <v>102</v>
      </c>
      <c r="E7" s="41">
        <f>=IFERROR(SUMPRODUCT((ISNUMBER(SEARCH($B7,KeDa!$B$4:$B$100)))*(LEFT(TRIM(KeDa!$E$3:$CE$3),LEN(TRIM(E$2)))=TRIM(E$2))*IFERROR(KeDa!$E$4:$CE$100,0)),0)+IFERROR(SUMPRODUCT((ISNUMBER(SEARCH($B7,Tank!$B$4:$B$100)))*(LEFT(TRIM(Tank!$E$3:$CE$3),LEN(TRIM(E$2)))=TRIM(E$2))*IFERROR(Tank!$E$4:$CE$100,0)),0)+IFERROR(SUMPRODUCT((ISNUMBER(SEARCH($B7,Richard!$B$4:$B$100)))*(LEFT(TRIM(Richard!$E$3:$CE$3),LEN(TRIM(E$2)))=TRIM(E$2))*IFERROR(Richard!$E$4:$CE$100,0)),0)+IFERROR(SUMPRODUCT((ISNUMBER(SEARCH($B7,Jenny!$B$4:$B$100)))*(LEFT(TRIM(Jenny!$E$3:$CE$3),LEN(TRIM(E$2)))=TRIM(E$2))*IFERROR(Jenny!$E$4:$CE$100,0)),0)+IFERROR(SUMPRODUCT((ISNUMBER(SEARCH($B7,Cooper!$B$4:$B$100)))*(LEFT(TRIM(Cooper!$E$3:$CE$3),LEN(TRIM(E$2)))=TRIM(E$2))*IFERROR(Cooper!$E$4:$CE$100,0)),0)+IFERROR(SUMPRODUCT((ISNUMBER(SEARCH($B7,Summer!$B$4:$B$100)))*(LEFT(TRIM(Summer!$E$3:$CE$3),LEN(TRIM(E$2)))=TRIM(E$2))*IFERROR(Summer!$E$4:$CE$100,0)),0)+IFERROR(SUMPRODUCT((ISNUMBER(SEARCH($B7,Julie!$B$4:$B$100)))*(LEFT(TRIM(Julie!$E$3:$CE$3),LEN(TRIM(E$2)))=TRIM(E$2))*IFERROR(Julie!$E$4:$CE$100,0)),0)+IFERROR(SUMPRODUCT((ISNUMBER(SEARCH($B7,Jiao!$B$4:$B$100)))*(LEFT(TRIM(Jiao!$E$3:$CE$3),LEN(TRIM(E$2)))=TRIM(E$2))*IFERROR(Jiao!$E$4:$CE$100,0)),0)</f>
      </c>
      <c r="F7" s="41">
        <f>=IFERROR(SUMPRODUCT((ISNUMBER(SEARCH($B7,KeDa!$B$4:$B$100)))*(LEFT(TRIM(KeDa!$E$3:$CE$3),LEN(TRIM(F$2)))=TRIM(F$2))*IFERROR(KeDa!$E$4:$CE$100,0)),0)+IFERROR(SUMPRODUCT((ISNUMBER(SEARCH($B7,Tank!$B$4:$B$100)))*(LEFT(TRIM(Tank!$E$3:$CE$3),LEN(TRIM(F$2)))=TRIM(F$2))*IFERROR(Tank!$E$4:$CE$100,0)),0)+IFERROR(SUMPRODUCT((ISNUMBER(SEARCH($B7,Richard!$B$4:$B$100)))*(LEFT(TRIM(Richard!$E$3:$CE$3),LEN(TRIM(F$2)))=TRIM(F$2))*IFERROR(Richard!$E$4:$CE$100,0)),0)+IFERROR(SUMPRODUCT((ISNUMBER(SEARCH($B7,Jenny!$B$4:$B$100)))*(LEFT(TRIM(Jenny!$E$3:$CE$3),LEN(TRIM(F$2)))=TRIM(F$2))*IFERROR(Jenny!$E$4:$CE$100,0)),0)+IFERROR(SUMPRODUCT((ISNUMBER(SEARCH($B7,Cooper!$B$4:$B$100)))*(LEFT(TRIM(Cooper!$E$3:$CE$3),LEN(TRIM(F$2)))=TRIM(F$2))*IFERROR(Cooper!$E$4:$CE$100,0)),0)+IFERROR(SUMPRODUCT((ISNUMBER(SEARCH($B7,Summer!$B$4:$B$100)))*(LEFT(TRIM(Summer!$E$3:$CE$3),LEN(TRIM(F$2)))=TRIM(F$2))*IFERROR(Summer!$E$4:$CE$100,0)),0)+IFERROR(SUMPRODUCT((ISNUMBER(SEARCH($B7,Julie!$B$4:$B$100)))*(LEFT(TRIM(Julie!$E$3:$CE$3),LEN(TRIM(F$2)))=TRIM(F$2))*IFERROR(Julie!$E$4:$CE$100,0)),0)+IFERROR(SUMPRODUCT((ISNUMBER(SEARCH($B7,Jiao!$B$4:$B$100)))*(LEFT(TRIM(Jiao!$E$3:$CE$3),LEN(TRIM(F$2)))=TRIM(F$2))*IFERROR(Jiao!$E$4:$CE$100,0)),0)</f>
      </c>
      <c r="G7" s="41">
        <f>=IFERROR(SUMPRODUCT((ISNUMBER(SEARCH($B7,KeDa!$B$4:$B$100)))*(LEFT(TRIM(KeDa!$E$3:$CE$3),LEN(TRIM(G$2)))=TRIM(G$2))*IFERROR(KeDa!$E$4:$CE$100,0)),0)+IFERROR(SUMPRODUCT((ISNUMBER(SEARCH($B7,Tank!$B$4:$B$100)))*(LEFT(TRIM(Tank!$E$3:$CE$3),LEN(TRIM(G$2)))=TRIM(G$2))*IFERROR(Tank!$E$4:$CE$100,0)),0)+IFERROR(SUMPRODUCT((ISNUMBER(SEARCH($B7,Richard!$B$4:$B$100)))*(LEFT(TRIM(Richard!$E$3:$CE$3),LEN(TRIM(G$2)))=TRIM(G$2))*IFERROR(Richard!$E$4:$CE$100,0)),0)+IFERROR(SUMPRODUCT((ISNUMBER(SEARCH($B7,Jenny!$B$4:$B$100)))*(LEFT(TRIM(Jenny!$E$3:$CE$3),LEN(TRIM(G$2)))=TRIM(G$2))*IFERROR(Jenny!$E$4:$CE$100,0)),0)+IFERROR(SUMPRODUCT((ISNUMBER(SEARCH($B7,Cooper!$B$4:$B$100)))*(LEFT(TRIM(Cooper!$E$3:$CE$3),LEN(TRIM(G$2)))=TRIM(G$2))*IFERROR(Cooper!$E$4:$CE$100,0)),0)+IFERROR(SUMPRODUCT((ISNUMBER(SEARCH($B7,Summer!$B$4:$B$100)))*(LEFT(TRIM(Summer!$E$3:$CE$3),LEN(TRIM(G$2)))=TRIM(G$2))*IFERROR(Summer!$E$4:$CE$100,0)),0)+IFERROR(SUMPRODUCT((ISNUMBER(SEARCH($B7,Julie!$B$4:$B$100)))*(LEFT(TRIM(Julie!$E$3:$CE$3),LEN(TRIM(G$2)))=TRIM(G$2))*IFERROR(Julie!$E$4:$CE$100,0)),0)+IFERROR(SUMPRODUCT((ISNUMBER(SEARCH($B7,Jiao!$B$4:$B$100)))*(LEFT(TRIM(Jiao!$E$3:$CE$3),LEN(TRIM(G$2)))=TRIM(G$2))*IFERROR(Jiao!$E$4:$CE$100,0)),0)</f>
      </c>
      <c r="H7" s="41">
        <f>=IFERROR(SUMPRODUCT((ISNUMBER(SEARCH($B7,KeDa!$B$4:$B$100)))*(LEFT(TRIM(KeDa!$E$3:$CE$3),LEN(TRIM(H$2)))=TRIM(H$2))*IFERROR(KeDa!$E$4:$CE$100,0)),0)+IFERROR(SUMPRODUCT((ISNUMBER(SEARCH($B7,Tank!$B$4:$B$100)))*(LEFT(TRIM(Tank!$E$3:$CE$3),LEN(TRIM(H$2)))=TRIM(H$2))*IFERROR(Tank!$E$4:$CE$100,0)),0)+IFERROR(SUMPRODUCT((ISNUMBER(SEARCH($B7,Richard!$B$4:$B$100)))*(LEFT(TRIM(Richard!$E$3:$CE$3),LEN(TRIM(H$2)))=TRIM(H$2))*IFERROR(Richard!$E$4:$CE$100,0)),0)+IFERROR(SUMPRODUCT((ISNUMBER(SEARCH($B7,Jenny!$B$4:$B$100)))*(LEFT(TRIM(Jenny!$E$3:$CE$3),LEN(TRIM(H$2)))=TRIM(H$2))*IFERROR(Jenny!$E$4:$CE$100,0)),0)+IFERROR(SUMPRODUCT((ISNUMBER(SEARCH($B7,Cooper!$B$4:$B$100)))*(LEFT(TRIM(Cooper!$E$3:$CE$3),LEN(TRIM(H$2)))=TRIM(H$2))*IFERROR(Cooper!$E$4:$CE$100,0)),0)+IFERROR(SUMPRODUCT((ISNUMBER(SEARCH($B7,Summer!$B$4:$B$100)))*(LEFT(TRIM(Summer!$E$3:$CE$3),LEN(TRIM(H$2)))=TRIM(H$2))*IFERROR(Summer!$E$4:$CE$100,0)),0)+IFERROR(SUMPRODUCT((ISNUMBER(SEARCH($B7,Julie!$B$4:$B$100)))*(LEFT(TRIM(Julie!$E$3:$CE$3),LEN(TRIM(H$2)))=TRIM(H$2))*IFERROR(Julie!$E$4:$CE$100,0)),0)+IFERROR(SUMPRODUCT((ISNUMBER(SEARCH($B7,Jiao!$B$4:$B$100)))*(LEFT(TRIM(Jiao!$E$3:$CE$3),LEN(TRIM(H$2)))=TRIM(H$2))*IFERROR(Jiao!$E$4:$CE$100,0)),0)</f>
      </c>
      <c r="I7" s="41">
        <f>=IFERROR(SUMPRODUCT((ISNUMBER(SEARCH($B7,KeDa!$B$4:$B$100)))*(LEFT(TRIM(KeDa!$E$3:$CE$3),LEN(TRIM(I$2)))=TRIM(I$2))*IFERROR(KeDa!$E$4:$CE$100,0)),0)+IFERROR(SUMPRODUCT((ISNUMBER(SEARCH($B7,Tank!$B$4:$B$100)))*(LEFT(TRIM(Tank!$E$3:$CE$3),LEN(TRIM(I$2)))=TRIM(I$2))*IFERROR(Tank!$E$4:$CE$100,0)),0)+IFERROR(SUMPRODUCT((ISNUMBER(SEARCH($B7,Richard!$B$4:$B$100)))*(LEFT(TRIM(Richard!$E$3:$CE$3),LEN(TRIM(I$2)))=TRIM(I$2))*IFERROR(Richard!$E$4:$CE$100,0)),0)+IFERROR(SUMPRODUCT((ISNUMBER(SEARCH($B7,Jenny!$B$4:$B$100)))*(LEFT(TRIM(Jenny!$E$3:$CE$3),LEN(TRIM(I$2)))=TRIM(I$2))*IFERROR(Jenny!$E$4:$CE$100,0)),0)+IFERROR(SUMPRODUCT((ISNUMBER(SEARCH($B7,Cooper!$B$4:$B$100)))*(LEFT(TRIM(Cooper!$E$3:$CE$3),LEN(TRIM(I$2)))=TRIM(I$2))*IFERROR(Cooper!$E$4:$CE$100,0)),0)+IFERROR(SUMPRODUCT((ISNUMBER(SEARCH($B7,Summer!$B$4:$B$100)))*(LEFT(TRIM(Summer!$E$3:$CE$3),LEN(TRIM(I$2)))=TRIM(I$2))*IFERROR(Summer!$E$4:$CE$100,0)),0)+IFERROR(SUMPRODUCT((ISNUMBER(SEARCH($B7,Julie!$B$4:$B$100)))*(LEFT(TRIM(Julie!$E$3:$CE$3),LEN(TRIM(I$2)))=TRIM(I$2))*IFERROR(Julie!$E$4:$CE$100,0)),0)+IFERROR(SUMPRODUCT((ISNUMBER(SEARCH($B7,Jiao!$B$4:$B$100)))*(LEFT(TRIM(Jiao!$E$3:$CE$3),LEN(TRIM(I$2)))=TRIM(I$2))*IFERROR(Jiao!$E$4:$CE$100,0)),0)</f>
      </c>
      <c r="J7" s="41">
        <f>=IFERROR(SUMPRODUCT((ISNUMBER(SEARCH($B7,KeDa!$B$4:$B$100)))*(LEFT(TRIM(KeDa!$E$3:$CE$3),LEN(TRIM(J$2)))=TRIM(J$2))*IFERROR(KeDa!$E$4:$CE$100,0)),0)+IFERROR(SUMPRODUCT((ISNUMBER(SEARCH($B7,Tank!$B$4:$B$100)))*(LEFT(TRIM(Tank!$E$3:$CE$3),LEN(TRIM(J$2)))=TRIM(J$2))*IFERROR(Tank!$E$4:$CE$100,0)),0)+IFERROR(SUMPRODUCT((ISNUMBER(SEARCH($B7,Richard!$B$4:$B$100)))*(LEFT(TRIM(Richard!$E$3:$CE$3),LEN(TRIM(J$2)))=TRIM(J$2))*IFERROR(Richard!$E$4:$CE$100,0)),0)+IFERROR(SUMPRODUCT((ISNUMBER(SEARCH($B7,Jenny!$B$4:$B$100)))*(LEFT(TRIM(Jenny!$E$3:$CE$3),LEN(TRIM(J$2)))=TRIM(J$2))*IFERROR(Jenny!$E$4:$CE$100,0)),0)+IFERROR(SUMPRODUCT((ISNUMBER(SEARCH($B7,Cooper!$B$4:$B$100)))*(LEFT(TRIM(Cooper!$E$3:$CE$3),LEN(TRIM(J$2)))=TRIM(J$2))*IFERROR(Cooper!$E$4:$CE$100,0)),0)+IFERROR(SUMPRODUCT((ISNUMBER(SEARCH($B7,Summer!$B$4:$B$100)))*(LEFT(TRIM(Summer!$E$3:$CE$3),LEN(TRIM(J$2)))=TRIM(J$2))*IFERROR(Summer!$E$4:$CE$100,0)),0)+IFERROR(SUMPRODUCT((ISNUMBER(SEARCH($B7,Julie!$B$4:$B$100)))*(LEFT(TRIM(Julie!$E$3:$CE$3),LEN(TRIM(J$2)))=TRIM(J$2))*IFERROR(Julie!$E$4:$CE$100,0)),0)+IFERROR(SUMPRODUCT((ISNUMBER(SEARCH($B7,Jiao!$B$4:$B$100)))*(LEFT(TRIM(Jiao!$E$3:$CE$3),LEN(TRIM(J$2)))=TRIM(J$2))*IFERROR(Jiao!$E$4:$CE$100,0)),0)</f>
      </c>
      <c r="K7" s="41">
        <f>=IFERROR(SUMPRODUCT((ISNUMBER(SEARCH($B7,KeDa!$B$4:$B$100)))*(LEFT(TRIM(KeDa!$E$3:$CE$3),LEN(TRIM(K$2)))=TRIM(K$2))*IFERROR(KeDa!$E$4:$CE$100,0)),0)+IFERROR(SUMPRODUCT((ISNUMBER(SEARCH($B7,Tank!$B$4:$B$100)))*(LEFT(TRIM(Tank!$E$3:$CE$3),LEN(TRIM(K$2)))=TRIM(K$2))*IFERROR(Tank!$E$4:$CE$100,0)),0)+IFERROR(SUMPRODUCT((ISNUMBER(SEARCH($B7,Richard!$B$4:$B$100)))*(LEFT(TRIM(Richard!$E$3:$CE$3),LEN(TRIM(K$2)))=TRIM(K$2))*IFERROR(Richard!$E$4:$CE$100,0)),0)+IFERROR(SUMPRODUCT((ISNUMBER(SEARCH($B7,Jenny!$B$4:$B$100)))*(LEFT(TRIM(Jenny!$E$3:$CE$3),LEN(TRIM(K$2)))=TRIM(K$2))*IFERROR(Jenny!$E$4:$CE$100,0)),0)+IFERROR(SUMPRODUCT((ISNUMBER(SEARCH($B7,Cooper!$B$4:$B$100)))*(LEFT(TRIM(Cooper!$E$3:$CE$3),LEN(TRIM(K$2)))=TRIM(K$2))*IFERROR(Cooper!$E$4:$CE$100,0)),0)+IFERROR(SUMPRODUCT((ISNUMBER(SEARCH($B7,Summer!$B$4:$B$100)))*(LEFT(TRIM(Summer!$E$3:$CE$3),LEN(TRIM(K$2)))=TRIM(K$2))*IFERROR(Summer!$E$4:$CE$100,0)),0)+IFERROR(SUMPRODUCT((ISNUMBER(SEARCH($B7,Julie!$B$4:$B$100)))*(LEFT(TRIM(Julie!$E$3:$CE$3),LEN(TRIM(K$2)))=TRIM(K$2))*IFERROR(Julie!$E$4:$CE$100,0)),0)+IFERROR(SUMPRODUCT((ISNUMBER(SEARCH($B7,Jiao!$B$4:$B$100)))*(LEFT(TRIM(Jiao!$E$3:$CE$3),LEN(TRIM(K$2)))=TRIM(K$2))*IFERROR(Jiao!$E$4:$CE$100,0)),0)</f>
      </c>
    </row>
    <row r="8" spans="1:11">
      <c r="A8" s="62">
        <v>6</v>
      </c>
      <c r="B8" s="28" t="s">
        <v>181</v>
      </c>
      <c r="C8" s="28" t="s">
        <v>106</v>
      </c>
      <c r="D8" s="28" t="s">
        <v>102</v>
      </c>
      <c r="E8" s="41">
        <f>=IFERROR(SUMPRODUCT((ISNUMBER(SEARCH($B8,KeDa!$B$4:$B$100)))*(LEFT(TRIM(KeDa!$E$3:$CE$3),LEN(TRIM(E$2)))=TRIM(E$2))*IFERROR(KeDa!$E$4:$CE$100,0)),0)+IFERROR(SUMPRODUCT((ISNUMBER(SEARCH($B8,Tank!$B$4:$B$100)))*(LEFT(TRIM(Tank!$E$3:$CE$3),LEN(TRIM(E$2)))=TRIM(E$2))*IFERROR(Tank!$E$4:$CE$100,0)),0)+IFERROR(SUMPRODUCT((ISNUMBER(SEARCH($B8,Richard!$B$4:$B$100)))*(LEFT(TRIM(Richard!$E$3:$CE$3),LEN(TRIM(E$2)))=TRIM(E$2))*IFERROR(Richard!$E$4:$CE$100,0)),0)+IFERROR(SUMPRODUCT((ISNUMBER(SEARCH($B8,Jenny!$B$4:$B$100)))*(LEFT(TRIM(Jenny!$E$3:$CE$3),LEN(TRIM(E$2)))=TRIM(E$2))*IFERROR(Jenny!$E$4:$CE$100,0)),0)+IFERROR(SUMPRODUCT((ISNUMBER(SEARCH($B8,Cooper!$B$4:$B$100)))*(LEFT(TRIM(Cooper!$E$3:$CE$3),LEN(TRIM(E$2)))=TRIM(E$2))*IFERROR(Cooper!$E$4:$CE$100,0)),0)+IFERROR(SUMPRODUCT((ISNUMBER(SEARCH($B8,Summer!$B$4:$B$100)))*(LEFT(TRIM(Summer!$E$3:$CE$3),LEN(TRIM(E$2)))=TRIM(E$2))*IFERROR(Summer!$E$4:$CE$100,0)),0)+IFERROR(SUMPRODUCT((ISNUMBER(SEARCH($B8,Julie!$B$4:$B$100)))*(LEFT(TRIM(Julie!$E$3:$CE$3),LEN(TRIM(E$2)))=TRIM(E$2))*IFERROR(Julie!$E$4:$CE$100,0)),0)+IFERROR(SUMPRODUCT((ISNUMBER(SEARCH($B8,Jiao!$B$4:$B$100)))*(LEFT(TRIM(Jiao!$E$3:$CE$3),LEN(TRIM(E$2)))=TRIM(E$2))*IFERROR(Jiao!$E$4:$CE$100,0)),0)</f>
      </c>
      <c r="F8" s="41">
        <f>=IFERROR(SUMPRODUCT((ISNUMBER(SEARCH($B8,KeDa!$B$4:$B$100)))*(LEFT(TRIM(KeDa!$E$3:$CE$3),LEN(TRIM(F$2)))=TRIM(F$2))*IFERROR(KeDa!$E$4:$CE$100,0)),0)+IFERROR(SUMPRODUCT((ISNUMBER(SEARCH($B8,Tank!$B$4:$B$100)))*(LEFT(TRIM(Tank!$E$3:$CE$3),LEN(TRIM(F$2)))=TRIM(F$2))*IFERROR(Tank!$E$4:$CE$100,0)),0)+IFERROR(SUMPRODUCT((ISNUMBER(SEARCH($B8,Richard!$B$4:$B$100)))*(LEFT(TRIM(Richard!$E$3:$CE$3),LEN(TRIM(F$2)))=TRIM(F$2))*IFERROR(Richard!$E$4:$CE$100,0)),0)+IFERROR(SUMPRODUCT((ISNUMBER(SEARCH($B8,Jenny!$B$4:$B$100)))*(LEFT(TRIM(Jenny!$E$3:$CE$3),LEN(TRIM(F$2)))=TRIM(F$2))*IFERROR(Jenny!$E$4:$CE$100,0)),0)+IFERROR(SUMPRODUCT((ISNUMBER(SEARCH($B8,Cooper!$B$4:$B$100)))*(LEFT(TRIM(Cooper!$E$3:$CE$3),LEN(TRIM(F$2)))=TRIM(F$2))*IFERROR(Cooper!$E$4:$CE$100,0)),0)+IFERROR(SUMPRODUCT((ISNUMBER(SEARCH($B8,Summer!$B$4:$B$100)))*(LEFT(TRIM(Summer!$E$3:$CE$3),LEN(TRIM(F$2)))=TRIM(F$2))*IFERROR(Summer!$E$4:$CE$100,0)),0)+IFERROR(SUMPRODUCT((ISNUMBER(SEARCH($B8,Julie!$B$4:$B$100)))*(LEFT(TRIM(Julie!$E$3:$CE$3),LEN(TRIM(F$2)))=TRIM(F$2))*IFERROR(Julie!$E$4:$CE$100,0)),0)+IFERROR(SUMPRODUCT((ISNUMBER(SEARCH($B8,Jiao!$B$4:$B$100)))*(LEFT(TRIM(Jiao!$E$3:$CE$3),LEN(TRIM(F$2)))=TRIM(F$2))*IFERROR(Jiao!$E$4:$CE$100,0)),0)</f>
      </c>
      <c r="G8" s="41">
        <f>=IFERROR(SUMPRODUCT((ISNUMBER(SEARCH($B8,KeDa!$B$4:$B$100)))*(LEFT(TRIM(KeDa!$E$3:$CE$3),LEN(TRIM(G$2)))=TRIM(G$2))*IFERROR(KeDa!$E$4:$CE$100,0)),0)+IFERROR(SUMPRODUCT((ISNUMBER(SEARCH($B8,Tank!$B$4:$B$100)))*(LEFT(TRIM(Tank!$E$3:$CE$3),LEN(TRIM(G$2)))=TRIM(G$2))*IFERROR(Tank!$E$4:$CE$100,0)),0)+IFERROR(SUMPRODUCT((ISNUMBER(SEARCH($B8,Richard!$B$4:$B$100)))*(LEFT(TRIM(Richard!$E$3:$CE$3),LEN(TRIM(G$2)))=TRIM(G$2))*IFERROR(Richard!$E$4:$CE$100,0)),0)+IFERROR(SUMPRODUCT((ISNUMBER(SEARCH($B8,Jenny!$B$4:$B$100)))*(LEFT(TRIM(Jenny!$E$3:$CE$3),LEN(TRIM(G$2)))=TRIM(G$2))*IFERROR(Jenny!$E$4:$CE$100,0)),0)+IFERROR(SUMPRODUCT((ISNUMBER(SEARCH($B8,Cooper!$B$4:$B$100)))*(LEFT(TRIM(Cooper!$E$3:$CE$3),LEN(TRIM(G$2)))=TRIM(G$2))*IFERROR(Cooper!$E$4:$CE$100,0)),0)+IFERROR(SUMPRODUCT((ISNUMBER(SEARCH($B8,Summer!$B$4:$B$100)))*(LEFT(TRIM(Summer!$E$3:$CE$3),LEN(TRIM(G$2)))=TRIM(G$2))*IFERROR(Summer!$E$4:$CE$100,0)),0)+IFERROR(SUMPRODUCT((ISNUMBER(SEARCH($B8,Julie!$B$4:$B$100)))*(LEFT(TRIM(Julie!$E$3:$CE$3),LEN(TRIM(G$2)))=TRIM(G$2))*IFERROR(Julie!$E$4:$CE$100,0)),0)+IFERROR(SUMPRODUCT((ISNUMBER(SEARCH($B8,Jiao!$B$4:$B$100)))*(LEFT(TRIM(Jiao!$E$3:$CE$3),LEN(TRIM(G$2)))=TRIM(G$2))*IFERROR(Jiao!$E$4:$CE$100,0)),0)</f>
      </c>
      <c r="H8" s="41">
        <f>=IFERROR(SUMPRODUCT((ISNUMBER(SEARCH($B8,KeDa!$B$4:$B$100)))*(LEFT(TRIM(KeDa!$E$3:$CE$3),LEN(TRIM(H$2)))=TRIM(H$2))*IFERROR(KeDa!$E$4:$CE$100,0)),0)+IFERROR(SUMPRODUCT((ISNUMBER(SEARCH($B8,Tank!$B$4:$B$100)))*(LEFT(TRIM(Tank!$E$3:$CE$3),LEN(TRIM(H$2)))=TRIM(H$2))*IFERROR(Tank!$E$4:$CE$100,0)),0)+IFERROR(SUMPRODUCT((ISNUMBER(SEARCH($B8,Richard!$B$4:$B$100)))*(LEFT(TRIM(Richard!$E$3:$CE$3),LEN(TRIM(H$2)))=TRIM(H$2))*IFERROR(Richard!$E$4:$CE$100,0)),0)+IFERROR(SUMPRODUCT((ISNUMBER(SEARCH($B8,Jenny!$B$4:$B$100)))*(LEFT(TRIM(Jenny!$E$3:$CE$3),LEN(TRIM(H$2)))=TRIM(H$2))*IFERROR(Jenny!$E$4:$CE$100,0)),0)+IFERROR(SUMPRODUCT((ISNUMBER(SEARCH($B8,Cooper!$B$4:$B$100)))*(LEFT(TRIM(Cooper!$E$3:$CE$3),LEN(TRIM(H$2)))=TRIM(H$2))*IFERROR(Cooper!$E$4:$CE$100,0)),0)+IFERROR(SUMPRODUCT((ISNUMBER(SEARCH($B8,Summer!$B$4:$B$100)))*(LEFT(TRIM(Summer!$E$3:$CE$3),LEN(TRIM(H$2)))=TRIM(H$2))*IFERROR(Summer!$E$4:$CE$100,0)),0)+IFERROR(SUMPRODUCT((ISNUMBER(SEARCH($B8,Julie!$B$4:$B$100)))*(LEFT(TRIM(Julie!$E$3:$CE$3),LEN(TRIM(H$2)))=TRIM(H$2))*IFERROR(Julie!$E$4:$CE$100,0)),0)+IFERROR(SUMPRODUCT((ISNUMBER(SEARCH($B8,Jiao!$B$4:$B$100)))*(LEFT(TRIM(Jiao!$E$3:$CE$3),LEN(TRIM(H$2)))=TRIM(H$2))*IFERROR(Jiao!$E$4:$CE$100,0)),0)</f>
      </c>
      <c r="I8" s="41">
        <f>=IFERROR(SUMPRODUCT((ISNUMBER(SEARCH($B8,KeDa!$B$4:$B$100)))*(LEFT(TRIM(KeDa!$E$3:$CE$3),LEN(TRIM(I$2)))=TRIM(I$2))*IFERROR(KeDa!$E$4:$CE$100,0)),0)+IFERROR(SUMPRODUCT((ISNUMBER(SEARCH($B8,Tank!$B$4:$B$100)))*(LEFT(TRIM(Tank!$E$3:$CE$3),LEN(TRIM(I$2)))=TRIM(I$2))*IFERROR(Tank!$E$4:$CE$100,0)),0)+IFERROR(SUMPRODUCT((ISNUMBER(SEARCH($B8,Richard!$B$4:$B$100)))*(LEFT(TRIM(Richard!$E$3:$CE$3),LEN(TRIM(I$2)))=TRIM(I$2))*IFERROR(Richard!$E$4:$CE$100,0)),0)+IFERROR(SUMPRODUCT((ISNUMBER(SEARCH($B8,Jenny!$B$4:$B$100)))*(LEFT(TRIM(Jenny!$E$3:$CE$3),LEN(TRIM(I$2)))=TRIM(I$2))*IFERROR(Jenny!$E$4:$CE$100,0)),0)+IFERROR(SUMPRODUCT((ISNUMBER(SEARCH($B8,Cooper!$B$4:$B$100)))*(LEFT(TRIM(Cooper!$E$3:$CE$3),LEN(TRIM(I$2)))=TRIM(I$2))*IFERROR(Cooper!$E$4:$CE$100,0)),0)+IFERROR(SUMPRODUCT((ISNUMBER(SEARCH($B8,Summer!$B$4:$B$100)))*(LEFT(TRIM(Summer!$E$3:$CE$3),LEN(TRIM(I$2)))=TRIM(I$2))*IFERROR(Summer!$E$4:$CE$100,0)),0)+IFERROR(SUMPRODUCT((ISNUMBER(SEARCH($B8,Julie!$B$4:$B$100)))*(LEFT(TRIM(Julie!$E$3:$CE$3),LEN(TRIM(I$2)))=TRIM(I$2))*IFERROR(Julie!$E$4:$CE$100,0)),0)+IFERROR(SUMPRODUCT((ISNUMBER(SEARCH($B8,Jiao!$B$4:$B$100)))*(LEFT(TRIM(Jiao!$E$3:$CE$3),LEN(TRIM(I$2)))=TRIM(I$2))*IFERROR(Jiao!$E$4:$CE$100,0)),0)</f>
      </c>
      <c r="J8" s="41">
        <f>=IFERROR(SUMPRODUCT((ISNUMBER(SEARCH($B8,KeDa!$B$4:$B$100)))*(LEFT(TRIM(KeDa!$E$3:$CE$3),LEN(TRIM(J$2)))=TRIM(J$2))*IFERROR(KeDa!$E$4:$CE$100,0)),0)+IFERROR(SUMPRODUCT((ISNUMBER(SEARCH($B8,Tank!$B$4:$B$100)))*(LEFT(TRIM(Tank!$E$3:$CE$3),LEN(TRIM(J$2)))=TRIM(J$2))*IFERROR(Tank!$E$4:$CE$100,0)),0)+IFERROR(SUMPRODUCT((ISNUMBER(SEARCH($B8,Richard!$B$4:$B$100)))*(LEFT(TRIM(Richard!$E$3:$CE$3),LEN(TRIM(J$2)))=TRIM(J$2))*IFERROR(Richard!$E$4:$CE$100,0)),0)+IFERROR(SUMPRODUCT((ISNUMBER(SEARCH($B8,Jenny!$B$4:$B$100)))*(LEFT(TRIM(Jenny!$E$3:$CE$3),LEN(TRIM(J$2)))=TRIM(J$2))*IFERROR(Jenny!$E$4:$CE$100,0)),0)+IFERROR(SUMPRODUCT((ISNUMBER(SEARCH($B8,Cooper!$B$4:$B$100)))*(LEFT(TRIM(Cooper!$E$3:$CE$3),LEN(TRIM(J$2)))=TRIM(J$2))*IFERROR(Cooper!$E$4:$CE$100,0)),0)+IFERROR(SUMPRODUCT((ISNUMBER(SEARCH($B8,Summer!$B$4:$B$100)))*(LEFT(TRIM(Summer!$E$3:$CE$3),LEN(TRIM(J$2)))=TRIM(J$2))*IFERROR(Summer!$E$4:$CE$100,0)),0)+IFERROR(SUMPRODUCT((ISNUMBER(SEARCH($B8,Julie!$B$4:$B$100)))*(LEFT(TRIM(Julie!$E$3:$CE$3),LEN(TRIM(J$2)))=TRIM(J$2))*IFERROR(Julie!$E$4:$CE$100,0)),0)+IFERROR(SUMPRODUCT((ISNUMBER(SEARCH($B8,Jiao!$B$4:$B$100)))*(LEFT(TRIM(Jiao!$E$3:$CE$3),LEN(TRIM(J$2)))=TRIM(J$2))*IFERROR(Jiao!$E$4:$CE$100,0)),0)</f>
      </c>
      <c r="K8" s="41">
        <f>=IFERROR(SUMPRODUCT((ISNUMBER(SEARCH($B8,KeDa!$B$4:$B$100)))*(LEFT(TRIM(KeDa!$E$3:$CE$3),LEN(TRIM(K$2)))=TRIM(K$2))*IFERROR(KeDa!$E$4:$CE$100,0)),0)+IFERROR(SUMPRODUCT((ISNUMBER(SEARCH($B8,Tank!$B$4:$B$100)))*(LEFT(TRIM(Tank!$E$3:$CE$3),LEN(TRIM(K$2)))=TRIM(K$2))*IFERROR(Tank!$E$4:$CE$100,0)),0)+IFERROR(SUMPRODUCT((ISNUMBER(SEARCH($B8,Richard!$B$4:$B$100)))*(LEFT(TRIM(Richard!$E$3:$CE$3),LEN(TRIM(K$2)))=TRIM(K$2))*IFERROR(Richard!$E$4:$CE$100,0)),0)+IFERROR(SUMPRODUCT((ISNUMBER(SEARCH($B8,Jenny!$B$4:$B$100)))*(LEFT(TRIM(Jenny!$E$3:$CE$3),LEN(TRIM(K$2)))=TRIM(K$2))*IFERROR(Jenny!$E$4:$CE$100,0)),0)+IFERROR(SUMPRODUCT((ISNUMBER(SEARCH($B8,Cooper!$B$4:$B$100)))*(LEFT(TRIM(Cooper!$E$3:$CE$3),LEN(TRIM(K$2)))=TRIM(K$2))*IFERROR(Cooper!$E$4:$CE$100,0)),0)+IFERROR(SUMPRODUCT((ISNUMBER(SEARCH($B8,Summer!$B$4:$B$100)))*(LEFT(TRIM(Summer!$E$3:$CE$3),LEN(TRIM(K$2)))=TRIM(K$2))*IFERROR(Summer!$E$4:$CE$100,0)),0)+IFERROR(SUMPRODUCT((ISNUMBER(SEARCH($B8,Julie!$B$4:$B$100)))*(LEFT(TRIM(Julie!$E$3:$CE$3),LEN(TRIM(K$2)))=TRIM(K$2))*IFERROR(Julie!$E$4:$CE$100,0)),0)+IFERROR(SUMPRODUCT((ISNUMBER(SEARCH($B8,Jiao!$B$4:$B$100)))*(LEFT(TRIM(Jiao!$E$3:$CE$3),LEN(TRIM(K$2)))=TRIM(K$2))*IFERROR(Jiao!$E$4:$CE$100,0)),0)</f>
      </c>
    </row>
    <row r="9" spans="1:11">
      <c r="A9" s="62">
        <v>7</v>
      </c>
      <c r="B9" s="28" t="s">
        <v>182</v>
      </c>
      <c r="C9" s="28" t="s">
        <v>106</v>
      </c>
      <c r="D9" s="28" t="s">
        <v>102</v>
      </c>
      <c r="E9" s="41">
        <f>=IFERROR(SUMPRODUCT((ISNUMBER(SEARCH($B9,KeDa!$B$4:$B$100)))*(LEFT(TRIM(KeDa!$E$3:$CE$3),LEN(TRIM(E$2)))=TRIM(E$2))*IFERROR(KeDa!$E$4:$CE$100,0)),0)+IFERROR(SUMPRODUCT((ISNUMBER(SEARCH($B9,Tank!$B$4:$B$100)))*(LEFT(TRIM(Tank!$E$3:$CE$3),LEN(TRIM(E$2)))=TRIM(E$2))*IFERROR(Tank!$E$4:$CE$100,0)),0)+IFERROR(SUMPRODUCT((ISNUMBER(SEARCH($B9,Richard!$B$4:$B$100)))*(LEFT(TRIM(Richard!$E$3:$CE$3),LEN(TRIM(E$2)))=TRIM(E$2))*IFERROR(Richard!$E$4:$CE$100,0)),0)+IFERROR(SUMPRODUCT((ISNUMBER(SEARCH($B9,Jenny!$B$4:$B$100)))*(LEFT(TRIM(Jenny!$E$3:$CE$3),LEN(TRIM(E$2)))=TRIM(E$2))*IFERROR(Jenny!$E$4:$CE$100,0)),0)+IFERROR(SUMPRODUCT((ISNUMBER(SEARCH($B9,Cooper!$B$4:$B$100)))*(LEFT(TRIM(Cooper!$E$3:$CE$3),LEN(TRIM(E$2)))=TRIM(E$2))*IFERROR(Cooper!$E$4:$CE$100,0)),0)+IFERROR(SUMPRODUCT((ISNUMBER(SEARCH($B9,Summer!$B$4:$B$100)))*(LEFT(TRIM(Summer!$E$3:$CE$3),LEN(TRIM(E$2)))=TRIM(E$2))*IFERROR(Summer!$E$4:$CE$100,0)),0)+IFERROR(SUMPRODUCT((ISNUMBER(SEARCH($B9,Julie!$B$4:$B$100)))*(LEFT(TRIM(Julie!$E$3:$CE$3),LEN(TRIM(E$2)))=TRIM(E$2))*IFERROR(Julie!$E$4:$CE$100,0)),0)+IFERROR(SUMPRODUCT((ISNUMBER(SEARCH($B9,Jiao!$B$4:$B$100)))*(LEFT(TRIM(Jiao!$E$3:$CE$3),LEN(TRIM(E$2)))=TRIM(E$2))*IFERROR(Jiao!$E$4:$CE$100,0)),0)</f>
      </c>
      <c r="F9" s="41">
        <f>=IFERROR(SUMPRODUCT((ISNUMBER(SEARCH($B9,KeDa!$B$4:$B$100)))*(LEFT(TRIM(KeDa!$E$3:$CE$3),LEN(TRIM(F$2)))=TRIM(F$2))*IFERROR(KeDa!$E$4:$CE$100,0)),0)+IFERROR(SUMPRODUCT((ISNUMBER(SEARCH($B9,Tank!$B$4:$B$100)))*(LEFT(TRIM(Tank!$E$3:$CE$3),LEN(TRIM(F$2)))=TRIM(F$2))*IFERROR(Tank!$E$4:$CE$100,0)),0)+IFERROR(SUMPRODUCT((ISNUMBER(SEARCH($B9,Richard!$B$4:$B$100)))*(LEFT(TRIM(Richard!$E$3:$CE$3),LEN(TRIM(F$2)))=TRIM(F$2))*IFERROR(Richard!$E$4:$CE$100,0)),0)+IFERROR(SUMPRODUCT((ISNUMBER(SEARCH($B9,Jenny!$B$4:$B$100)))*(LEFT(TRIM(Jenny!$E$3:$CE$3),LEN(TRIM(F$2)))=TRIM(F$2))*IFERROR(Jenny!$E$4:$CE$100,0)),0)+IFERROR(SUMPRODUCT((ISNUMBER(SEARCH($B9,Cooper!$B$4:$B$100)))*(LEFT(TRIM(Cooper!$E$3:$CE$3),LEN(TRIM(F$2)))=TRIM(F$2))*IFERROR(Cooper!$E$4:$CE$100,0)),0)+IFERROR(SUMPRODUCT((ISNUMBER(SEARCH($B9,Summer!$B$4:$B$100)))*(LEFT(TRIM(Summer!$E$3:$CE$3),LEN(TRIM(F$2)))=TRIM(F$2))*IFERROR(Summer!$E$4:$CE$100,0)),0)+IFERROR(SUMPRODUCT((ISNUMBER(SEARCH($B9,Julie!$B$4:$B$100)))*(LEFT(TRIM(Julie!$E$3:$CE$3),LEN(TRIM(F$2)))=TRIM(F$2))*IFERROR(Julie!$E$4:$CE$100,0)),0)+IFERROR(SUMPRODUCT((ISNUMBER(SEARCH($B9,Jiao!$B$4:$B$100)))*(LEFT(TRIM(Jiao!$E$3:$CE$3),LEN(TRIM(F$2)))=TRIM(F$2))*IFERROR(Jiao!$E$4:$CE$100,0)),0)</f>
      </c>
      <c r="G9" s="41">
        <f>=IFERROR(SUMPRODUCT((ISNUMBER(SEARCH($B9,KeDa!$B$4:$B$100)))*(LEFT(TRIM(KeDa!$E$3:$CE$3),LEN(TRIM(G$2)))=TRIM(G$2))*IFERROR(KeDa!$E$4:$CE$100,0)),0)+IFERROR(SUMPRODUCT((ISNUMBER(SEARCH($B9,Tank!$B$4:$B$100)))*(LEFT(TRIM(Tank!$E$3:$CE$3),LEN(TRIM(G$2)))=TRIM(G$2))*IFERROR(Tank!$E$4:$CE$100,0)),0)+IFERROR(SUMPRODUCT((ISNUMBER(SEARCH($B9,Richard!$B$4:$B$100)))*(LEFT(TRIM(Richard!$E$3:$CE$3),LEN(TRIM(G$2)))=TRIM(G$2))*IFERROR(Richard!$E$4:$CE$100,0)),0)+IFERROR(SUMPRODUCT((ISNUMBER(SEARCH($B9,Jenny!$B$4:$B$100)))*(LEFT(TRIM(Jenny!$E$3:$CE$3),LEN(TRIM(G$2)))=TRIM(G$2))*IFERROR(Jenny!$E$4:$CE$100,0)),0)+IFERROR(SUMPRODUCT((ISNUMBER(SEARCH($B9,Cooper!$B$4:$B$100)))*(LEFT(TRIM(Cooper!$E$3:$CE$3),LEN(TRIM(G$2)))=TRIM(G$2))*IFERROR(Cooper!$E$4:$CE$100,0)),0)+IFERROR(SUMPRODUCT((ISNUMBER(SEARCH($B9,Summer!$B$4:$B$100)))*(LEFT(TRIM(Summer!$E$3:$CE$3),LEN(TRIM(G$2)))=TRIM(G$2))*IFERROR(Summer!$E$4:$CE$100,0)),0)+IFERROR(SUMPRODUCT((ISNUMBER(SEARCH($B9,Julie!$B$4:$B$100)))*(LEFT(TRIM(Julie!$E$3:$CE$3),LEN(TRIM(G$2)))=TRIM(G$2))*IFERROR(Julie!$E$4:$CE$100,0)),0)+IFERROR(SUMPRODUCT((ISNUMBER(SEARCH($B9,Jiao!$B$4:$B$100)))*(LEFT(TRIM(Jiao!$E$3:$CE$3),LEN(TRIM(G$2)))=TRIM(G$2))*IFERROR(Jiao!$E$4:$CE$100,0)),0)</f>
      </c>
      <c r="H9" s="41">
        <f>=IFERROR(SUMPRODUCT((ISNUMBER(SEARCH($B9,KeDa!$B$4:$B$100)))*(LEFT(TRIM(KeDa!$E$3:$CE$3),LEN(TRIM(H$2)))=TRIM(H$2))*IFERROR(KeDa!$E$4:$CE$100,0)),0)+IFERROR(SUMPRODUCT((ISNUMBER(SEARCH($B9,Tank!$B$4:$B$100)))*(LEFT(TRIM(Tank!$E$3:$CE$3),LEN(TRIM(H$2)))=TRIM(H$2))*IFERROR(Tank!$E$4:$CE$100,0)),0)+IFERROR(SUMPRODUCT((ISNUMBER(SEARCH($B9,Richard!$B$4:$B$100)))*(LEFT(TRIM(Richard!$E$3:$CE$3),LEN(TRIM(H$2)))=TRIM(H$2))*IFERROR(Richard!$E$4:$CE$100,0)),0)+IFERROR(SUMPRODUCT((ISNUMBER(SEARCH($B9,Jenny!$B$4:$B$100)))*(LEFT(TRIM(Jenny!$E$3:$CE$3),LEN(TRIM(H$2)))=TRIM(H$2))*IFERROR(Jenny!$E$4:$CE$100,0)),0)+IFERROR(SUMPRODUCT((ISNUMBER(SEARCH($B9,Cooper!$B$4:$B$100)))*(LEFT(TRIM(Cooper!$E$3:$CE$3),LEN(TRIM(H$2)))=TRIM(H$2))*IFERROR(Cooper!$E$4:$CE$100,0)),0)+IFERROR(SUMPRODUCT((ISNUMBER(SEARCH($B9,Summer!$B$4:$B$100)))*(LEFT(TRIM(Summer!$E$3:$CE$3),LEN(TRIM(H$2)))=TRIM(H$2))*IFERROR(Summer!$E$4:$CE$100,0)),0)+IFERROR(SUMPRODUCT((ISNUMBER(SEARCH($B9,Julie!$B$4:$B$100)))*(LEFT(TRIM(Julie!$E$3:$CE$3),LEN(TRIM(H$2)))=TRIM(H$2))*IFERROR(Julie!$E$4:$CE$100,0)),0)+IFERROR(SUMPRODUCT((ISNUMBER(SEARCH($B9,Jiao!$B$4:$B$100)))*(LEFT(TRIM(Jiao!$E$3:$CE$3),LEN(TRIM(H$2)))=TRIM(H$2))*IFERROR(Jiao!$E$4:$CE$100,0)),0)</f>
      </c>
      <c r="I9" s="41">
        <f>=IFERROR(SUMPRODUCT((ISNUMBER(SEARCH($B9,KeDa!$B$4:$B$100)))*(LEFT(TRIM(KeDa!$E$3:$CE$3),LEN(TRIM(I$2)))=TRIM(I$2))*IFERROR(KeDa!$E$4:$CE$100,0)),0)+IFERROR(SUMPRODUCT((ISNUMBER(SEARCH($B9,Tank!$B$4:$B$100)))*(LEFT(TRIM(Tank!$E$3:$CE$3),LEN(TRIM(I$2)))=TRIM(I$2))*IFERROR(Tank!$E$4:$CE$100,0)),0)+IFERROR(SUMPRODUCT((ISNUMBER(SEARCH($B9,Richard!$B$4:$B$100)))*(LEFT(TRIM(Richard!$E$3:$CE$3),LEN(TRIM(I$2)))=TRIM(I$2))*IFERROR(Richard!$E$4:$CE$100,0)),0)+IFERROR(SUMPRODUCT((ISNUMBER(SEARCH($B9,Jenny!$B$4:$B$100)))*(LEFT(TRIM(Jenny!$E$3:$CE$3),LEN(TRIM(I$2)))=TRIM(I$2))*IFERROR(Jenny!$E$4:$CE$100,0)),0)+IFERROR(SUMPRODUCT((ISNUMBER(SEARCH($B9,Cooper!$B$4:$B$100)))*(LEFT(TRIM(Cooper!$E$3:$CE$3),LEN(TRIM(I$2)))=TRIM(I$2))*IFERROR(Cooper!$E$4:$CE$100,0)),0)+IFERROR(SUMPRODUCT((ISNUMBER(SEARCH($B9,Summer!$B$4:$B$100)))*(LEFT(TRIM(Summer!$E$3:$CE$3),LEN(TRIM(I$2)))=TRIM(I$2))*IFERROR(Summer!$E$4:$CE$100,0)),0)+IFERROR(SUMPRODUCT((ISNUMBER(SEARCH($B9,Julie!$B$4:$B$100)))*(LEFT(TRIM(Julie!$E$3:$CE$3),LEN(TRIM(I$2)))=TRIM(I$2))*IFERROR(Julie!$E$4:$CE$100,0)),0)+IFERROR(SUMPRODUCT((ISNUMBER(SEARCH($B9,Jiao!$B$4:$B$100)))*(LEFT(TRIM(Jiao!$E$3:$CE$3),LEN(TRIM(I$2)))=TRIM(I$2))*IFERROR(Jiao!$E$4:$CE$100,0)),0)</f>
      </c>
      <c r="J9" s="41">
        <f>=IFERROR(SUMPRODUCT((ISNUMBER(SEARCH($B9,KeDa!$B$4:$B$100)))*(LEFT(TRIM(KeDa!$E$3:$CE$3),LEN(TRIM(J$2)))=TRIM(J$2))*IFERROR(KeDa!$E$4:$CE$100,0)),0)+IFERROR(SUMPRODUCT((ISNUMBER(SEARCH($B9,Tank!$B$4:$B$100)))*(LEFT(TRIM(Tank!$E$3:$CE$3),LEN(TRIM(J$2)))=TRIM(J$2))*IFERROR(Tank!$E$4:$CE$100,0)),0)+IFERROR(SUMPRODUCT((ISNUMBER(SEARCH($B9,Richard!$B$4:$B$100)))*(LEFT(TRIM(Richard!$E$3:$CE$3),LEN(TRIM(J$2)))=TRIM(J$2))*IFERROR(Richard!$E$4:$CE$100,0)),0)+IFERROR(SUMPRODUCT((ISNUMBER(SEARCH($B9,Jenny!$B$4:$B$100)))*(LEFT(TRIM(Jenny!$E$3:$CE$3),LEN(TRIM(J$2)))=TRIM(J$2))*IFERROR(Jenny!$E$4:$CE$100,0)),0)+IFERROR(SUMPRODUCT((ISNUMBER(SEARCH($B9,Cooper!$B$4:$B$100)))*(LEFT(TRIM(Cooper!$E$3:$CE$3),LEN(TRIM(J$2)))=TRIM(J$2))*IFERROR(Cooper!$E$4:$CE$100,0)),0)+IFERROR(SUMPRODUCT((ISNUMBER(SEARCH($B9,Summer!$B$4:$B$100)))*(LEFT(TRIM(Summer!$E$3:$CE$3),LEN(TRIM(J$2)))=TRIM(J$2))*IFERROR(Summer!$E$4:$CE$100,0)),0)+IFERROR(SUMPRODUCT((ISNUMBER(SEARCH($B9,Julie!$B$4:$B$100)))*(LEFT(TRIM(Julie!$E$3:$CE$3),LEN(TRIM(J$2)))=TRIM(J$2))*IFERROR(Julie!$E$4:$CE$100,0)),0)+IFERROR(SUMPRODUCT((ISNUMBER(SEARCH($B9,Jiao!$B$4:$B$100)))*(LEFT(TRIM(Jiao!$E$3:$CE$3),LEN(TRIM(J$2)))=TRIM(J$2))*IFERROR(Jiao!$E$4:$CE$100,0)),0)</f>
      </c>
      <c r="K9" s="41">
        <f>=IFERROR(SUMPRODUCT((ISNUMBER(SEARCH($B9,KeDa!$B$4:$B$100)))*(LEFT(TRIM(KeDa!$E$3:$CE$3),LEN(TRIM(K$2)))=TRIM(K$2))*IFERROR(KeDa!$E$4:$CE$100,0)),0)+IFERROR(SUMPRODUCT((ISNUMBER(SEARCH($B9,Tank!$B$4:$B$100)))*(LEFT(TRIM(Tank!$E$3:$CE$3),LEN(TRIM(K$2)))=TRIM(K$2))*IFERROR(Tank!$E$4:$CE$100,0)),0)+IFERROR(SUMPRODUCT((ISNUMBER(SEARCH($B9,Richard!$B$4:$B$100)))*(LEFT(TRIM(Richard!$E$3:$CE$3),LEN(TRIM(K$2)))=TRIM(K$2))*IFERROR(Richard!$E$4:$CE$100,0)),0)+IFERROR(SUMPRODUCT((ISNUMBER(SEARCH($B9,Jenny!$B$4:$B$100)))*(LEFT(TRIM(Jenny!$E$3:$CE$3),LEN(TRIM(K$2)))=TRIM(K$2))*IFERROR(Jenny!$E$4:$CE$100,0)),0)+IFERROR(SUMPRODUCT((ISNUMBER(SEARCH($B9,Cooper!$B$4:$B$100)))*(LEFT(TRIM(Cooper!$E$3:$CE$3),LEN(TRIM(K$2)))=TRIM(K$2))*IFERROR(Cooper!$E$4:$CE$100,0)),0)+IFERROR(SUMPRODUCT((ISNUMBER(SEARCH($B9,Summer!$B$4:$B$100)))*(LEFT(TRIM(Summer!$E$3:$CE$3),LEN(TRIM(K$2)))=TRIM(K$2))*IFERROR(Summer!$E$4:$CE$100,0)),0)+IFERROR(SUMPRODUCT((ISNUMBER(SEARCH($B9,Julie!$B$4:$B$100)))*(LEFT(TRIM(Julie!$E$3:$CE$3),LEN(TRIM(K$2)))=TRIM(K$2))*IFERROR(Julie!$E$4:$CE$100,0)),0)+IFERROR(SUMPRODUCT((ISNUMBER(SEARCH($B9,Jiao!$B$4:$B$100)))*(LEFT(TRIM(Jiao!$E$3:$CE$3),LEN(TRIM(K$2)))=TRIM(K$2))*IFERROR(Jiao!$E$4:$CE$100,0)),0)</f>
      </c>
    </row>
    <row r="10" spans="1:11">
      <c r="A10" s="42">
        <v>8</v>
      </c>
      <c r="B10" s="43" t="s">
        <v>218</v>
      </c>
      <c r="C10" s="42" t="s">
        <v>1</v>
      </c>
      <c r="D10" s="63" t="s">
        <v>102</v>
      </c>
      <c r="E10" s="38" t="s">
        <v>1</v>
      </c>
      <c r="F10" s="44" t="s"/>
      <c r="G10" s="44" t="s"/>
      <c r="H10" s="44" t="s"/>
      <c r="I10" s="44" t="s"/>
      <c r="J10" s="44" t="s"/>
      <c r="K10" s="44" t="s"/>
    </row>
    <row r="11" spans="1:11">
      <c r="A11" s="42">
        <v>9</v>
      </c>
      <c r="B11" s="43" t="s">
        <v>219</v>
      </c>
      <c r="C11" s="42" t="s">
        <v>1</v>
      </c>
      <c r="D11" s="63" t="s">
        <v>102</v>
      </c>
      <c r="E11" s="38" t="s">
        <v>1</v>
      </c>
      <c r="F11" s="44" t="s"/>
      <c r="G11" s="44" t="s"/>
      <c r="H11" s="44" t="s"/>
      <c r="I11" s="44" t="s"/>
      <c r="J11" s="44" t="s"/>
      <c r="K11" s="44" t="s"/>
    </row>
    <row r="12" spans="1:11">
      <c r="A12" s="42">
        <v>10</v>
      </c>
      <c r="B12" s="43" t="s">
        <v>220</v>
      </c>
      <c r="C12" s="42" t="s">
        <v>1</v>
      </c>
      <c r="D12" s="63" t="s">
        <v>102</v>
      </c>
      <c r="E12" s="38" t="s">
        <v>1</v>
      </c>
      <c r="F12" s="44" t="s"/>
      <c r="G12" s="44" t="s"/>
      <c r="H12" s="44" t="s"/>
      <c r="I12" s="44" t="s"/>
      <c r="J12" s="44" t="s"/>
      <c r="K12" s="44" t="s"/>
    </row>
    <row r="13" spans="1:11">
      <c r="A13" s="42">
        <v>11</v>
      </c>
      <c r="B13" s="43" t="s">
        <v>221</v>
      </c>
      <c r="C13" s="42" t="s">
        <v>1</v>
      </c>
      <c r="D13" s="63" t="s">
        <v>102</v>
      </c>
      <c r="E13" s="38" t="s">
        <v>1</v>
      </c>
      <c r="F13" s="44" t="s"/>
      <c r="G13" s="44" t="s"/>
      <c r="H13" s="44" t="s"/>
      <c r="I13" s="44" t="s"/>
      <c r="J13" s="44" t="s"/>
      <c r="K13" s="44" t="s"/>
    </row>
  </sheetData>
  <mergeCells count="3">
    <mergeCell ref="A1:D1"/>
    <mergeCell ref="E1:H1"/>
    <mergeCell ref="I1:K1"/>
  </mergeCells>
</worksheet>
</file>

<file path=xl/worksheets/sheet6.xml><?xml version="1.0" encoding="utf-8"?>
<worksheet xmlns="http://schemas.openxmlformats.org/spreadsheetml/2006/main">
  <sheetPr codeName="Pythagoras">
    <tabColor rgb="FFFFFFFF"/>
  </sheetPr>
  <dimension ref="K13"/>
  <sheetViews>
    <sheetView showGridLines="true" workbookViewId="0"/>
  </sheetViews>
  <cols>
    <col min="1" max="1" width="8.71094" customWidth="true"/>
    <col min="2" max="4" width="23.7109" customWidth="true"/>
    <col min="5" max="5" width="26.7109" customWidth="true"/>
    <col min="6" max="6" width="20.7109" customWidth="true"/>
    <col min="7" max="7" width="20.7109" customWidth="true"/>
    <col min="8" max="8" width="21.7109" customWidth="true"/>
    <col min="9" max="9" width="24.7109" customWidth="true"/>
    <col min="10" max="10" width="13.7109" customWidth="true"/>
    <col min="11" max="11" width="14.7109" customWidth="true"/>
  </cols>
  <sheetData>
    <row r="1" spans="1:9">
      <c r="A1" s="33" t="s">
        <v>107</v>
      </c>
      <c r="C1" s="34" t="s">
        <v>1</v>
      </c>
      <c r="D1" s="34" t="s">
        <v>1</v>
      </c>
      <c r="E1" s="35" t="s">
        <v>108</v>
      </c>
      <c r="I1" s="36" t="s">
        <v>13</v>
      </c>
    </row>
    <row r="2" spans="1:11">
      <c r="A2" s="37" t="s">
        <v>109</v>
      </c>
      <c r="B2" s="37" t="s">
        <v>110</v>
      </c>
      <c r="C2" s="37" t="s">
        <v>111</v>
      </c>
      <c r="D2" s="37" t="s">
        <v>14</v>
      </c>
      <c r="E2" s="38" t="s">
        <v>15</v>
      </c>
      <c r="F2" s="38" t="s">
        <v>16</v>
      </c>
      <c r="G2" s="38" t="s">
        <v>17</v>
      </c>
      <c r="H2" s="38" t="s">
        <v>18</v>
      </c>
      <c r="I2" s="38" t="s">
        <v>19</v>
      </c>
      <c r="J2" s="38" t="s">
        <v>20</v>
      </c>
      <c r="K2" s="38" t="s">
        <v>21</v>
      </c>
    </row>
    <row r="3" spans="1:11">
      <c r="A3" s="39">
        <v>1</v>
      </c>
      <c r="B3" s="40" t="s">
        <v>112</v>
      </c>
      <c r="C3" s="40" t="s">
        <v>95</v>
      </c>
      <c r="D3" s="40" t="s">
        <v>96</v>
      </c>
      <c r="E3" s="41">
        <f>=IFERROR(SUMPRODUCT((ISNUMBER(SEARCH($B3,KeDa!$B$4:$B$100)))*(LEFT(TRIM(KeDa!$E$3:$CE$3),LEN(TRIM(E$2)))=TRIM(E$2))*IFERROR(KeDa!$E$4:$CE$100,0)),0)+IFERROR(SUMPRODUCT((ISNUMBER(SEARCH($B3,Tank!$B$4:$B$100)))*(LEFT(TRIM(Tank!$E$3:$CE$3),LEN(TRIM(E$2)))=TRIM(E$2))*IFERROR(Tank!$E$4:$CE$100,0)),0)+IFERROR(SUMPRODUCT((ISNUMBER(SEARCH($B3,Richard!$B$4:$B$100)))*(LEFT(TRIM(Richard!$E$3:$CE$3),LEN(TRIM(E$2)))=TRIM(E$2))*IFERROR(Richard!$E$4:$CE$100,0)),0)+IFERROR(SUMPRODUCT((ISNUMBER(SEARCH($B3,Jenny!$B$4:$B$100)))*(LEFT(TRIM(Jenny!$E$3:$CE$3),LEN(TRIM(E$2)))=TRIM(E$2))*IFERROR(Jenny!$E$4:$CE$100,0)),0)+IFERROR(SUMPRODUCT((ISNUMBER(SEARCH($B3,Cooper!$B$4:$B$100)))*(LEFT(TRIM(Cooper!$E$3:$CE$3),LEN(TRIM(E$2)))=TRIM(E$2))*IFERROR(Cooper!$E$4:$CE$100,0)),0)+IFERROR(SUMPRODUCT((ISNUMBER(SEARCH($B3,Summer!$B$4:$B$100)))*(LEFT(TRIM(Summer!$E$3:$CE$3),LEN(TRIM(E$2)))=TRIM(E$2))*IFERROR(Summer!$E$4:$CE$100,0)),0)+IFERROR(SUMPRODUCT((ISNUMBER(SEARCH($B3,Julie!$B$4:$B$100)))*(LEFT(TRIM(Julie!$E$3:$CE$3),LEN(TRIM(E$2)))=TRIM(E$2))*IFERROR(Julie!$E$4:$CE$100,0)),0)+IFERROR(SUMPRODUCT((ISNUMBER(SEARCH($B3,Jiao!$B$4:$B$100)))*(LEFT(TRIM(Jiao!$E$3:$CE$3),LEN(TRIM(E$2)))=TRIM(E$2))*IFERROR(Jiao!$E$4:$CE$100,0)),0)</f>
      </c>
      <c r="F3" s="41">
        <f>=IFERROR(SUMPRODUCT((ISNUMBER(SEARCH($B3,KeDa!$B$4:$B$100)))*(LEFT(TRIM(KeDa!$E$3:$CE$3),LEN(TRIM(F$2)))=TRIM(F$2))*IFERROR(KeDa!$E$4:$CE$100,0)),0)+IFERROR(SUMPRODUCT((ISNUMBER(SEARCH($B3,Tank!$B$4:$B$100)))*(LEFT(TRIM(Tank!$E$3:$CE$3),LEN(TRIM(F$2)))=TRIM(F$2))*IFERROR(Tank!$E$4:$CE$100,0)),0)+IFERROR(SUMPRODUCT((ISNUMBER(SEARCH($B3,Richard!$B$4:$B$100)))*(LEFT(TRIM(Richard!$E$3:$CE$3),LEN(TRIM(F$2)))=TRIM(F$2))*IFERROR(Richard!$E$4:$CE$100,0)),0)+IFERROR(SUMPRODUCT((ISNUMBER(SEARCH($B3,Jenny!$B$4:$B$100)))*(LEFT(TRIM(Jenny!$E$3:$CE$3),LEN(TRIM(F$2)))=TRIM(F$2))*IFERROR(Jenny!$E$4:$CE$100,0)),0)+IFERROR(SUMPRODUCT((ISNUMBER(SEARCH($B3,Cooper!$B$4:$B$100)))*(LEFT(TRIM(Cooper!$E$3:$CE$3),LEN(TRIM(F$2)))=TRIM(F$2))*IFERROR(Cooper!$E$4:$CE$100,0)),0)+IFERROR(SUMPRODUCT((ISNUMBER(SEARCH($B3,Summer!$B$4:$B$100)))*(LEFT(TRIM(Summer!$E$3:$CE$3),LEN(TRIM(F$2)))=TRIM(F$2))*IFERROR(Summer!$E$4:$CE$100,0)),0)+IFERROR(SUMPRODUCT((ISNUMBER(SEARCH($B3,Julie!$B$4:$B$100)))*(LEFT(TRIM(Julie!$E$3:$CE$3),LEN(TRIM(F$2)))=TRIM(F$2))*IFERROR(Julie!$E$4:$CE$100,0)),0)+IFERROR(SUMPRODUCT((ISNUMBER(SEARCH($B3,Jiao!$B$4:$B$100)))*(LEFT(TRIM(Jiao!$E$3:$CE$3),LEN(TRIM(F$2)))=TRIM(F$2))*IFERROR(Jiao!$E$4:$CE$100,0)),0)</f>
      </c>
      <c r="G3" s="41">
        <f>=IFERROR(SUMPRODUCT((ISNUMBER(SEARCH($B3,KeDa!$B$4:$B$100)))*(LEFT(TRIM(KeDa!$E$3:$CE$3),LEN(TRIM(G$2)))=TRIM(G$2))*IFERROR(KeDa!$E$4:$CE$100,0)),0)+IFERROR(SUMPRODUCT((ISNUMBER(SEARCH($B3,Tank!$B$4:$B$100)))*(LEFT(TRIM(Tank!$E$3:$CE$3),LEN(TRIM(G$2)))=TRIM(G$2))*IFERROR(Tank!$E$4:$CE$100,0)),0)+IFERROR(SUMPRODUCT((ISNUMBER(SEARCH($B3,Richard!$B$4:$B$100)))*(LEFT(TRIM(Richard!$E$3:$CE$3),LEN(TRIM(G$2)))=TRIM(G$2))*IFERROR(Richard!$E$4:$CE$100,0)),0)+IFERROR(SUMPRODUCT((ISNUMBER(SEARCH($B3,Jenny!$B$4:$B$100)))*(LEFT(TRIM(Jenny!$E$3:$CE$3),LEN(TRIM(G$2)))=TRIM(G$2))*IFERROR(Jenny!$E$4:$CE$100,0)),0)+IFERROR(SUMPRODUCT((ISNUMBER(SEARCH($B3,Cooper!$B$4:$B$100)))*(LEFT(TRIM(Cooper!$E$3:$CE$3),LEN(TRIM(G$2)))=TRIM(G$2))*IFERROR(Cooper!$E$4:$CE$100,0)),0)+IFERROR(SUMPRODUCT((ISNUMBER(SEARCH($B3,Summer!$B$4:$B$100)))*(LEFT(TRIM(Summer!$E$3:$CE$3),LEN(TRIM(G$2)))=TRIM(G$2))*IFERROR(Summer!$E$4:$CE$100,0)),0)+IFERROR(SUMPRODUCT((ISNUMBER(SEARCH($B3,Julie!$B$4:$B$100)))*(LEFT(TRIM(Julie!$E$3:$CE$3),LEN(TRIM(G$2)))=TRIM(G$2))*IFERROR(Julie!$E$4:$CE$100,0)),0)+IFERROR(SUMPRODUCT((ISNUMBER(SEARCH($B3,Jiao!$B$4:$B$100)))*(LEFT(TRIM(Jiao!$E$3:$CE$3),LEN(TRIM(G$2)))=TRIM(G$2))*IFERROR(Jiao!$E$4:$CE$100,0)),0)</f>
      </c>
      <c r="H3" s="41">
        <f>=IFERROR(SUMPRODUCT((ISNUMBER(SEARCH($B3,KeDa!$B$4:$B$100)))*(LEFT(TRIM(KeDa!$E$3:$CE$3),LEN(TRIM(H$2)))=TRIM(H$2))*IFERROR(KeDa!$E$4:$CE$100,0)),0)+IFERROR(SUMPRODUCT((ISNUMBER(SEARCH($B3,Tank!$B$4:$B$100)))*(LEFT(TRIM(Tank!$E$3:$CE$3),LEN(TRIM(H$2)))=TRIM(H$2))*IFERROR(Tank!$E$4:$CE$100,0)),0)+IFERROR(SUMPRODUCT((ISNUMBER(SEARCH($B3,Richard!$B$4:$B$100)))*(LEFT(TRIM(Richard!$E$3:$CE$3),LEN(TRIM(H$2)))=TRIM(H$2))*IFERROR(Richard!$E$4:$CE$100,0)),0)+IFERROR(SUMPRODUCT((ISNUMBER(SEARCH($B3,Jenny!$B$4:$B$100)))*(LEFT(TRIM(Jenny!$E$3:$CE$3),LEN(TRIM(H$2)))=TRIM(H$2))*IFERROR(Jenny!$E$4:$CE$100,0)),0)+IFERROR(SUMPRODUCT((ISNUMBER(SEARCH($B3,Cooper!$B$4:$B$100)))*(LEFT(TRIM(Cooper!$E$3:$CE$3),LEN(TRIM(H$2)))=TRIM(H$2))*IFERROR(Cooper!$E$4:$CE$100,0)),0)+IFERROR(SUMPRODUCT((ISNUMBER(SEARCH($B3,Summer!$B$4:$B$100)))*(LEFT(TRIM(Summer!$E$3:$CE$3),LEN(TRIM(H$2)))=TRIM(H$2))*IFERROR(Summer!$E$4:$CE$100,0)),0)+IFERROR(SUMPRODUCT((ISNUMBER(SEARCH($B3,Julie!$B$4:$B$100)))*(LEFT(TRIM(Julie!$E$3:$CE$3),LEN(TRIM(H$2)))=TRIM(H$2))*IFERROR(Julie!$E$4:$CE$100,0)),0)+IFERROR(SUMPRODUCT((ISNUMBER(SEARCH($B3,Jiao!$B$4:$B$100)))*(LEFT(TRIM(Jiao!$E$3:$CE$3),LEN(TRIM(H$2)))=TRIM(H$2))*IFERROR(Jiao!$E$4:$CE$100,0)),0)</f>
      </c>
      <c r="I3" s="41">
        <f>=IFERROR(SUMPRODUCT((ISNUMBER(SEARCH($B3,KeDa!$B$4:$B$100)))*(LEFT(TRIM(KeDa!$E$3:$CE$3),LEN(TRIM(I$2)))=TRIM(I$2))*IFERROR(KeDa!$E$4:$CE$100,0)),0)+IFERROR(SUMPRODUCT((ISNUMBER(SEARCH($B3,Tank!$B$4:$B$100)))*(LEFT(TRIM(Tank!$E$3:$CE$3),LEN(TRIM(I$2)))=TRIM(I$2))*IFERROR(Tank!$E$4:$CE$100,0)),0)+IFERROR(SUMPRODUCT((ISNUMBER(SEARCH($B3,Richard!$B$4:$B$100)))*(LEFT(TRIM(Richard!$E$3:$CE$3),LEN(TRIM(I$2)))=TRIM(I$2))*IFERROR(Richard!$E$4:$CE$100,0)),0)+IFERROR(SUMPRODUCT((ISNUMBER(SEARCH($B3,Jenny!$B$4:$B$100)))*(LEFT(TRIM(Jenny!$E$3:$CE$3),LEN(TRIM(I$2)))=TRIM(I$2))*IFERROR(Jenny!$E$4:$CE$100,0)),0)+IFERROR(SUMPRODUCT((ISNUMBER(SEARCH($B3,Cooper!$B$4:$B$100)))*(LEFT(TRIM(Cooper!$E$3:$CE$3),LEN(TRIM(I$2)))=TRIM(I$2))*IFERROR(Cooper!$E$4:$CE$100,0)),0)+IFERROR(SUMPRODUCT((ISNUMBER(SEARCH($B3,Summer!$B$4:$B$100)))*(LEFT(TRIM(Summer!$E$3:$CE$3),LEN(TRIM(I$2)))=TRIM(I$2))*IFERROR(Summer!$E$4:$CE$100,0)),0)+IFERROR(SUMPRODUCT((ISNUMBER(SEARCH($B3,Julie!$B$4:$B$100)))*(LEFT(TRIM(Julie!$E$3:$CE$3),LEN(TRIM(I$2)))=TRIM(I$2))*IFERROR(Julie!$E$4:$CE$100,0)),0)+IFERROR(SUMPRODUCT((ISNUMBER(SEARCH($B3,Jiao!$B$4:$B$100)))*(LEFT(TRIM(Jiao!$E$3:$CE$3),LEN(TRIM(I$2)))=TRIM(I$2))*IFERROR(Jiao!$E$4:$CE$100,0)),0)</f>
      </c>
      <c r="J3" s="41">
        <f>=IFERROR(SUMPRODUCT((ISNUMBER(SEARCH($B3,KeDa!$B$4:$B$100)))*(LEFT(TRIM(KeDa!$E$3:$CE$3),LEN(TRIM(J$2)))=TRIM(J$2))*IFERROR(KeDa!$E$4:$CE$100,0)),0)+IFERROR(SUMPRODUCT((ISNUMBER(SEARCH($B3,Tank!$B$4:$B$100)))*(LEFT(TRIM(Tank!$E$3:$CE$3),LEN(TRIM(J$2)))=TRIM(J$2))*IFERROR(Tank!$E$4:$CE$100,0)),0)+IFERROR(SUMPRODUCT((ISNUMBER(SEARCH($B3,Richard!$B$4:$B$100)))*(LEFT(TRIM(Richard!$E$3:$CE$3),LEN(TRIM(J$2)))=TRIM(J$2))*IFERROR(Richard!$E$4:$CE$100,0)),0)+IFERROR(SUMPRODUCT((ISNUMBER(SEARCH($B3,Jenny!$B$4:$B$100)))*(LEFT(TRIM(Jenny!$E$3:$CE$3),LEN(TRIM(J$2)))=TRIM(J$2))*IFERROR(Jenny!$E$4:$CE$100,0)),0)+IFERROR(SUMPRODUCT((ISNUMBER(SEARCH($B3,Cooper!$B$4:$B$100)))*(LEFT(TRIM(Cooper!$E$3:$CE$3),LEN(TRIM(J$2)))=TRIM(J$2))*IFERROR(Cooper!$E$4:$CE$100,0)),0)+IFERROR(SUMPRODUCT((ISNUMBER(SEARCH($B3,Summer!$B$4:$B$100)))*(LEFT(TRIM(Summer!$E$3:$CE$3),LEN(TRIM(J$2)))=TRIM(J$2))*IFERROR(Summer!$E$4:$CE$100,0)),0)+IFERROR(SUMPRODUCT((ISNUMBER(SEARCH($B3,Julie!$B$4:$B$100)))*(LEFT(TRIM(Julie!$E$3:$CE$3),LEN(TRIM(J$2)))=TRIM(J$2))*IFERROR(Julie!$E$4:$CE$100,0)),0)+IFERROR(SUMPRODUCT((ISNUMBER(SEARCH($B3,Jiao!$B$4:$B$100)))*(LEFT(TRIM(Jiao!$E$3:$CE$3),LEN(TRIM(J$2)))=TRIM(J$2))*IFERROR(Jiao!$E$4:$CE$100,0)),0)</f>
      </c>
      <c r="K3" s="41">
        <f>=IFERROR(SUMPRODUCT((ISNUMBER(SEARCH($B3,KeDa!$B$4:$B$100)))*(LEFT(TRIM(KeDa!$E$3:$CE$3),LEN(TRIM(K$2)))=TRIM(K$2))*IFERROR(KeDa!$E$4:$CE$100,0)),0)+IFERROR(SUMPRODUCT((ISNUMBER(SEARCH($B3,Tank!$B$4:$B$100)))*(LEFT(TRIM(Tank!$E$3:$CE$3),LEN(TRIM(K$2)))=TRIM(K$2))*IFERROR(Tank!$E$4:$CE$100,0)),0)+IFERROR(SUMPRODUCT((ISNUMBER(SEARCH($B3,Richard!$B$4:$B$100)))*(LEFT(TRIM(Richard!$E$3:$CE$3),LEN(TRIM(K$2)))=TRIM(K$2))*IFERROR(Richard!$E$4:$CE$100,0)),0)+IFERROR(SUMPRODUCT((ISNUMBER(SEARCH($B3,Jenny!$B$4:$B$100)))*(LEFT(TRIM(Jenny!$E$3:$CE$3),LEN(TRIM(K$2)))=TRIM(K$2))*IFERROR(Jenny!$E$4:$CE$100,0)),0)+IFERROR(SUMPRODUCT((ISNUMBER(SEARCH($B3,Cooper!$B$4:$B$100)))*(LEFT(TRIM(Cooper!$E$3:$CE$3),LEN(TRIM(K$2)))=TRIM(K$2))*IFERROR(Cooper!$E$4:$CE$100,0)),0)+IFERROR(SUMPRODUCT((ISNUMBER(SEARCH($B3,Summer!$B$4:$B$100)))*(LEFT(TRIM(Summer!$E$3:$CE$3),LEN(TRIM(K$2)))=TRIM(K$2))*IFERROR(Summer!$E$4:$CE$100,0)),0)+IFERROR(SUMPRODUCT((ISNUMBER(SEARCH($B3,Julie!$B$4:$B$100)))*(LEFT(TRIM(Julie!$E$3:$CE$3),LEN(TRIM(K$2)))=TRIM(K$2))*IFERROR(Julie!$E$4:$CE$100,0)),0)+IFERROR(SUMPRODUCT((ISNUMBER(SEARCH($B3,Jiao!$B$4:$B$100)))*(LEFT(TRIM(Jiao!$E$3:$CE$3),LEN(TRIM(K$2)))=TRIM(K$2))*IFERROR(Jiao!$E$4:$CE$100,0)),0)</f>
      </c>
    </row>
    <row r="4" spans="1:11">
      <c r="A4" s="39">
        <v>2</v>
      </c>
      <c r="B4" s="20" t="s">
        <v>159</v>
      </c>
      <c r="C4" s="40" t="s">
        <v>95</v>
      </c>
      <c r="D4" s="40" t="s">
        <v>96</v>
      </c>
      <c r="E4" s="41">
        <f>=IFERROR(SUMPRODUCT((ISNUMBER(SEARCH($B4,KeDa!$B$4:$B$100)))*(LEFT(TRIM(KeDa!$E$3:$CE$3),LEN(TRIM(E$2)))=TRIM(E$2))*IFERROR(KeDa!$E$4:$CE$100,0)),0)+IFERROR(SUMPRODUCT((ISNUMBER(SEARCH($B4,Tank!$B$4:$B$100)))*(LEFT(TRIM(Tank!$E$3:$CE$3),LEN(TRIM(E$2)))=TRIM(E$2))*IFERROR(Tank!$E$4:$CE$100,0)),0)+IFERROR(SUMPRODUCT((ISNUMBER(SEARCH($B4,Richard!$B$4:$B$100)))*(LEFT(TRIM(Richard!$E$3:$CE$3),LEN(TRIM(E$2)))=TRIM(E$2))*IFERROR(Richard!$E$4:$CE$100,0)),0)+IFERROR(SUMPRODUCT((ISNUMBER(SEARCH($B4,Jenny!$B$4:$B$100)))*(LEFT(TRIM(Jenny!$E$3:$CE$3),LEN(TRIM(E$2)))=TRIM(E$2))*IFERROR(Jenny!$E$4:$CE$100,0)),0)+IFERROR(SUMPRODUCT((ISNUMBER(SEARCH($B4,Cooper!$B$4:$B$100)))*(LEFT(TRIM(Cooper!$E$3:$CE$3),LEN(TRIM(E$2)))=TRIM(E$2))*IFERROR(Cooper!$E$4:$CE$100,0)),0)+IFERROR(SUMPRODUCT((ISNUMBER(SEARCH($B4,Summer!$B$4:$B$100)))*(LEFT(TRIM(Summer!$E$3:$CE$3),LEN(TRIM(E$2)))=TRIM(E$2))*IFERROR(Summer!$E$4:$CE$100,0)),0)+IFERROR(SUMPRODUCT((ISNUMBER(SEARCH($B4,Julie!$B$4:$B$100)))*(LEFT(TRIM(Julie!$E$3:$CE$3),LEN(TRIM(E$2)))=TRIM(E$2))*IFERROR(Julie!$E$4:$CE$100,0)),0)+IFERROR(SUMPRODUCT((ISNUMBER(SEARCH($B4,Jiao!$B$4:$B$100)))*(LEFT(TRIM(Jiao!$E$3:$CE$3),LEN(TRIM(E$2)))=TRIM(E$2))*IFERROR(Jiao!$E$4:$CE$100,0)),0)</f>
      </c>
      <c r="F4" s="41">
        <f>=IFERROR(SUMPRODUCT((ISNUMBER(SEARCH($B4,KeDa!$B$4:$B$100)))*(LEFT(TRIM(KeDa!$E$3:$CE$3),LEN(TRIM(F$2)))=TRIM(F$2))*IFERROR(KeDa!$E$4:$CE$100,0)),0)+IFERROR(SUMPRODUCT((ISNUMBER(SEARCH($B4,Tank!$B$4:$B$100)))*(LEFT(TRIM(Tank!$E$3:$CE$3),LEN(TRIM(F$2)))=TRIM(F$2))*IFERROR(Tank!$E$4:$CE$100,0)),0)+IFERROR(SUMPRODUCT((ISNUMBER(SEARCH($B4,Richard!$B$4:$B$100)))*(LEFT(TRIM(Richard!$E$3:$CE$3),LEN(TRIM(F$2)))=TRIM(F$2))*IFERROR(Richard!$E$4:$CE$100,0)),0)+IFERROR(SUMPRODUCT((ISNUMBER(SEARCH($B4,Jenny!$B$4:$B$100)))*(LEFT(TRIM(Jenny!$E$3:$CE$3),LEN(TRIM(F$2)))=TRIM(F$2))*IFERROR(Jenny!$E$4:$CE$100,0)),0)+IFERROR(SUMPRODUCT((ISNUMBER(SEARCH($B4,Cooper!$B$4:$B$100)))*(LEFT(TRIM(Cooper!$E$3:$CE$3),LEN(TRIM(F$2)))=TRIM(F$2))*IFERROR(Cooper!$E$4:$CE$100,0)),0)+IFERROR(SUMPRODUCT((ISNUMBER(SEARCH($B4,Summer!$B$4:$B$100)))*(LEFT(TRIM(Summer!$E$3:$CE$3),LEN(TRIM(F$2)))=TRIM(F$2))*IFERROR(Summer!$E$4:$CE$100,0)),0)+IFERROR(SUMPRODUCT((ISNUMBER(SEARCH($B4,Julie!$B$4:$B$100)))*(LEFT(TRIM(Julie!$E$3:$CE$3),LEN(TRIM(F$2)))=TRIM(F$2))*IFERROR(Julie!$E$4:$CE$100,0)),0)+IFERROR(SUMPRODUCT((ISNUMBER(SEARCH($B4,Jiao!$B$4:$B$100)))*(LEFT(TRIM(Jiao!$E$3:$CE$3),LEN(TRIM(F$2)))=TRIM(F$2))*IFERROR(Jiao!$E$4:$CE$100,0)),0)</f>
      </c>
      <c r="G4" s="41">
        <f>=IFERROR(SUMPRODUCT((ISNUMBER(SEARCH($B4,KeDa!$B$4:$B$100)))*(LEFT(TRIM(KeDa!$E$3:$CE$3),LEN(TRIM(G$2)))=TRIM(G$2))*IFERROR(KeDa!$E$4:$CE$100,0)),0)+IFERROR(SUMPRODUCT((ISNUMBER(SEARCH($B4,Tank!$B$4:$B$100)))*(LEFT(TRIM(Tank!$E$3:$CE$3),LEN(TRIM(G$2)))=TRIM(G$2))*IFERROR(Tank!$E$4:$CE$100,0)),0)+IFERROR(SUMPRODUCT((ISNUMBER(SEARCH($B4,Richard!$B$4:$B$100)))*(LEFT(TRIM(Richard!$E$3:$CE$3),LEN(TRIM(G$2)))=TRIM(G$2))*IFERROR(Richard!$E$4:$CE$100,0)),0)+IFERROR(SUMPRODUCT((ISNUMBER(SEARCH($B4,Jenny!$B$4:$B$100)))*(LEFT(TRIM(Jenny!$E$3:$CE$3),LEN(TRIM(G$2)))=TRIM(G$2))*IFERROR(Jenny!$E$4:$CE$100,0)),0)+IFERROR(SUMPRODUCT((ISNUMBER(SEARCH($B4,Cooper!$B$4:$B$100)))*(LEFT(TRIM(Cooper!$E$3:$CE$3),LEN(TRIM(G$2)))=TRIM(G$2))*IFERROR(Cooper!$E$4:$CE$100,0)),0)+IFERROR(SUMPRODUCT((ISNUMBER(SEARCH($B4,Summer!$B$4:$B$100)))*(LEFT(TRIM(Summer!$E$3:$CE$3),LEN(TRIM(G$2)))=TRIM(G$2))*IFERROR(Summer!$E$4:$CE$100,0)),0)+IFERROR(SUMPRODUCT((ISNUMBER(SEARCH($B4,Julie!$B$4:$B$100)))*(LEFT(TRIM(Julie!$E$3:$CE$3),LEN(TRIM(G$2)))=TRIM(G$2))*IFERROR(Julie!$E$4:$CE$100,0)),0)+IFERROR(SUMPRODUCT((ISNUMBER(SEARCH($B4,Jiao!$B$4:$B$100)))*(LEFT(TRIM(Jiao!$E$3:$CE$3),LEN(TRIM(G$2)))=TRIM(G$2))*IFERROR(Jiao!$E$4:$CE$100,0)),0)</f>
      </c>
      <c r="H4" s="41">
        <f>=IFERROR(SUMPRODUCT((ISNUMBER(SEARCH($B4,KeDa!$B$4:$B$100)))*(LEFT(TRIM(KeDa!$E$3:$CE$3),LEN(TRIM(H$2)))=TRIM(H$2))*IFERROR(KeDa!$E$4:$CE$100,0)),0)+IFERROR(SUMPRODUCT((ISNUMBER(SEARCH($B4,Tank!$B$4:$B$100)))*(LEFT(TRIM(Tank!$E$3:$CE$3),LEN(TRIM(H$2)))=TRIM(H$2))*IFERROR(Tank!$E$4:$CE$100,0)),0)+IFERROR(SUMPRODUCT((ISNUMBER(SEARCH($B4,Richard!$B$4:$B$100)))*(LEFT(TRIM(Richard!$E$3:$CE$3),LEN(TRIM(H$2)))=TRIM(H$2))*IFERROR(Richard!$E$4:$CE$100,0)),0)+IFERROR(SUMPRODUCT((ISNUMBER(SEARCH($B4,Jenny!$B$4:$B$100)))*(LEFT(TRIM(Jenny!$E$3:$CE$3),LEN(TRIM(H$2)))=TRIM(H$2))*IFERROR(Jenny!$E$4:$CE$100,0)),0)+IFERROR(SUMPRODUCT((ISNUMBER(SEARCH($B4,Cooper!$B$4:$B$100)))*(LEFT(TRIM(Cooper!$E$3:$CE$3),LEN(TRIM(H$2)))=TRIM(H$2))*IFERROR(Cooper!$E$4:$CE$100,0)),0)+IFERROR(SUMPRODUCT((ISNUMBER(SEARCH($B4,Summer!$B$4:$B$100)))*(LEFT(TRIM(Summer!$E$3:$CE$3),LEN(TRIM(H$2)))=TRIM(H$2))*IFERROR(Summer!$E$4:$CE$100,0)),0)+IFERROR(SUMPRODUCT((ISNUMBER(SEARCH($B4,Julie!$B$4:$B$100)))*(LEFT(TRIM(Julie!$E$3:$CE$3),LEN(TRIM(H$2)))=TRIM(H$2))*IFERROR(Julie!$E$4:$CE$100,0)),0)+IFERROR(SUMPRODUCT((ISNUMBER(SEARCH($B4,Jiao!$B$4:$B$100)))*(LEFT(TRIM(Jiao!$E$3:$CE$3),LEN(TRIM(H$2)))=TRIM(H$2))*IFERROR(Jiao!$E$4:$CE$100,0)),0)</f>
      </c>
      <c r="I4" s="41">
        <f>=IFERROR(SUMPRODUCT((ISNUMBER(SEARCH($B4,KeDa!$B$4:$B$100)))*(LEFT(TRIM(KeDa!$E$3:$CE$3),LEN(TRIM(I$2)))=TRIM(I$2))*IFERROR(KeDa!$E$4:$CE$100,0)),0)+IFERROR(SUMPRODUCT((ISNUMBER(SEARCH($B4,Tank!$B$4:$B$100)))*(LEFT(TRIM(Tank!$E$3:$CE$3),LEN(TRIM(I$2)))=TRIM(I$2))*IFERROR(Tank!$E$4:$CE$100,0)),0)+IFERROR(SUMPRODUCT((ISNUMBER(SEARCH($B4,Richard!$B$4:$B$100)))*(LEFT(TRIM(Richard!$E$3:$CE$3),LEN(TRIM(I$2)))=TRIM(I$2))*IFERROR(Richard!$E$4:$CE$100,0)),0)+IFERROR(SUMPRODUCT((ISNUMBER(SEARCH($B4,Jenny!$B$4:$B$100)))*(LEFT(TRIM(Jenny!$E$3:$CE$3),LEN(TRIM(I$2)))=TRIM(I$2))*IFERROR(Jenny!$E$4:$CE$100,0)),0)+IFERROR(SUMPRODUCT((ISNUMBER(SEARCH($B4,Cooper!$B$4:$B$100)))*(LEFT(TRIM(Cooper!$E$3:$CE$3),LEN(TRIM(I$2)))=TRIM(I$2))*IFERROR(Cooper!$E$4:$CE$100,0)),0)+IFERROR(SUMPRODUCT((ISNUMBER(SEARCH($B4,Summer!$B$4:$B$100)))*(LEFT(TRIM(Summer!$E$3:$CE$3),LEN(TRIM(I$2)))=TRIM(I$2))*IFERROR(Summer!$E$4:$CE$100,0)),0)+IFERROR(SUMPRODUCT((ISNUMBER(SEARCH($B4,Julie!$B$4:$B$100)))*(LEFT(TRIM(Julie!$E$3:$CE$3),LEN(TRIM(I$2)))=TRIM(I$2))*IFERROR(Julie!$E$4:$CE$100,0)),0)+IFERROR(SUMPRODUCT((ISNUMBER(SEARCH($B4,Jiao!$B$4:$B$100)))*(LEFT(TRIM(Jiao!$E$3:$CE$3),LEN(TRIM(I$2)))=TRIM(I$2))*IFERROR(Jiao!$E$4:$CE$100,0)),0)</f>
      </c>
      <c r="J4" s="41">
        <f>=IFERROR(SUMPRODUCT((ISNUMBER(SEARCH($B4,KeDa!$B$4:$B$100)))*(LEFT(TRIM(KeDa!$E$3:$CE$3),LEN(TRIM(J$2)))=TRIM(J$2))*IFERROR(KeDa!$E$4:$CE$100,0)),0)+IFERROR(SUMPRODUCT((ISNUMBER(SEARCH($B4,Tank!$B$4:$B$100)))*(LEFT(TRIM(Tank!$E$3:$CE$3),LEN(TRIM(J$2)))=TRIM(J$2))*IFERROR(Tank!$E$4:$CE$100,0)),0)+IFERROR(SUMPRODUCT((ISNUMBER(SEARCH($B4,Richard!$B$4:$B$100)))*(LEFT(TRIM(Richard!$E$3:$CE$3),LEN(TRIM(J$2)))=TRIM(J$2))*IFERROR(Richard!$E$4:$CE$100,0)),0)+IFERROR(SUMPRODUCT((ISNUMBER(SEARCH($B4,Jenny!$B$4:$B$100)))*(LEFT(TRIM(Jenny!$E$3:$CE$3),LEN(TRIM(J$2)))=TRIM(J$2))*IFERROR(Jenny!$E$4:$CE$100,0)),0)+IFERROR(SUMPRODUCT((ISNUMBER(SEARCH($B4,Cooper!$B$4:$B$100)))*(LEFT(TRIM(Cooper!$E$3:$CE$3),LEN(TRIM(J$2)))=TRIM(J$2))*IFERROR(Cooper!$E$4:$CE$100,0)),0)+IFERROR(SUMPRODUCT((ISNUMBER(SEARCH($B4,Summer!$B$4:$B$100)))*(LEFT(TRIM(Summer!$E$3:$CE$3),LEN(TRIM(J$2)))=TRIM(J$2))*IFERROR(Summer!$E$4:$CE$100,0)),0)+IFERROR(SUMPRODUCT((ISNUMBER(SEARCH($B4,Julie!$B$4:$B$100)))*(LEFT(TRIM(Julie!$E$3:$CE$3),LEN(TRIM(J$2)))=TRIM(J$2))*IFERROR(Julie!$E$4:$CE$100,0)),0)+IFERROR(SUMPRODUCT((ISNUMBER(SEARCH($B4,Jiao!$B$4:$B$100)))*(LEFT(TRIM(Jiao!$E$3:$CE$3),LEN(TRIM(J$2)))=TRIM(J$2))*IFERROR(Jiao!$E$4:$CE$100,0)),0)</f>
      </c>
      <c r="K4" s="41">
        <f>=IFERROR(SUMPRODUCT((ISNUMBER(SEARCH($B4,KeDa!$B$4:$B$100)))*(LEFT(TRIM(KeDa!$E$3:$CE$3),LEN(TRIM(K$2)))=TRIM(K$2))*IFERROR(KeDa!$E$4:$CE$100,0)),0)+IFERROR(SUMPRODUCT((ISNUMBER(SEARCH($B4,Tank!$B$4:$B$100)))*(LEFT(TRIM(Tank!$E$3:$CE$3),LEN(TRIM(K$2)))=TRIM(K$2))*IFERROR(Tank!$E$4:$CE$100,0)),0)+IFERROR(SUMPRODUCT((ISNUMBER(SEARCH($B4,Richard!$B$4:$B$100)))*(LEFT(TRIM(Richard!$E$3:$CE$3),LEN(TRIM(K$2)))=TRIM(K$2))*IFERROR(Richard!$E$4:$CE$100,0)),0)+IFERROR(SUMPRODUCT((ISNUMBER(SEARCH($B4,Jenny!$B$4:$B$100)))*(LEFT(TRIM(Jenny!$E$3:$CE$3),LEN(TRIM(K$2)))=TRIM(K$2))*IFERROR(Jenny!$E$4:$CE$100,0)),0)+IFERROR(SUMPRODUCT((ISNUMBER(SEARCH($B4,Cooper!$B$4:$B$100)))*(LEFT(TRIM(Cooper!$E$3:$CE$3),LEN(TRIM(K$2)))=TRIM(K$2))*IFERROR(Cooper!$E$4:$CE$100,0)),0)+IFERROR(SUMPRODUCT((ISNUMBER(SEARCH($B4,Summer!$B$4:$B$100)))*(LEFT(TRIM(Summer!$E$3:$CE$3),LEN(TRIM(K$2)))=TRIM(K$2))*IFERROR(Summer!$E$4:$CE$100,0)),0)+IFERROR(SUMPRODUCT((ISNUMBER(SEARCH($B4,Julie!$B$4:$B$100)))*(LEFT(TRIM(Julie!$E$3:$CE$3),LEN(TRIM(K$2)))=TRIM(K$2))*IFERROR(Julie!$E$4:$CE$100,0)),0)+IFERROR(SUMPRODUCT((ISNUMBER(SEARCH($B4,Jiao!$B$4:$B$100)))*(LEFT(TRIM(Jiao!$E$3:$CE$3),LEN(TRIM(K$2)))=TRIM(K$2))*IFERROR(Jiao!$E$4:$CE$100,0)),0)</f>
      </c>
    </row>
    <row r="5" spans="1:11">
      <c r="A5" s="39">
        <v>3</v>
      </c>
      <c r="B5" s="40" t="s">
        <v>113</v>
      </c>
      <c r="C5" s="40" t="s">
        <v>97</v>
      </c>
      <c r="D5" s="40" t="s">
        <v>96</v>
      </c>
      <c r="E5" s="41">
        <f>=IFERROR(SUMPRODUCT((ISNUMBER(SEARCH($B5,KeDa!$B$4:$B$100)))*(LEFT(TRIM(KeDa!$E$3:$CE$3),LEN(TRIM(E$2)))=TRIM(E$2))*IFERROR(KeDa!$E$4:$CE$100,0)),0)+IFERROR(SUMPRODUCT((ISNUMBER(SEARCH($B5,Tank!$B$4:$B$100)))*(LEFT(TRIM(Tank!$E$3:$CE$3),LEN(TRIM(E$2)))=TRIM(E$2))*IFERROR(Tank!$E$4:$CE$100,0)),0)+IFERROR(SUMPRODUCT((ISNUMBER(SEARCH($B5,Richard!$B$4:$B$100)))*(LEFT(TRIM(Richard!$E$3:$CE$3),LEN(TRIM(E$2)))=TRIM(E$2))*IFERROR(Richard!$E$4:$CE$100,0)),0)+IFERROR(SUMPRODUCT((ISNUMBER(SEARCH($B5,Jenny!$B$4:$B$100)))*(LEFT(TRIM(Jenny!$E$3:$CE$3),LEN(TRIM(E$2)))=TRIM(E$2))*IFERROR(Jenny!$E$4:$CE$100,0)),0)+IFERROR(SUMPRODUCT((ISNUMBER(SEARCH($B5,Cooper!$B$4:$B$100)))*(LEFT(TRIM(Cooper!$E$3:$CE$3),LEN(TRIM(E$2)))=TRIM(E$2))*IFERROR(Cooper!$E$4:$CE$100,0)),0)+IFERROR(SUMPRODUCT((ISNUMBER(SEARCH($B5,Summer!$B$4:$B$100)))*(LEFT(TRIM(Summer!$E$3:$CE$3),LEN(TRIM(E$2)))=TRIM(E$2))*IFERROR(Summer!$E$4:$CE$100,0)),0)+IFERROR(SUMPRODUCT((ISNUMBER(SEARCH($B5,Julie!$B$4:$B$100)))*(LEFT(TRIM(Julie!$E$3:$CE$3),LEN(TRIM(E$2)))=TRIM(E$2))*IFERROR(Julie!$E$4:$CE$100,0)),0)+IFERROR(SUMPRODUCT((ISNUMBER(SEARCH($B5,Jiao!$B$4:$B$100)))*(LEFT(TRIM(Jiao!$E$3:$CE$3),LEN(TRIM(E$2)))=TRIM(E$2))*IFERROR(Jiao!$E$4:$CE$100,0)),0)</f>
      </c>
      <c r="F5" s="41">
        <f>=IFERROR(SUMPRODUCT((ISNUMBER(SEARCH($B5,KeDa!$B$4:$B$100)))*(LEFT(TRIM(KeDa!$E$3:$CE$3),LEN(TRIM(F$2)))=TRIM(F$2))*IFERROR(KeDa!$E$4:$CE$100,0)),0)+IFERROR(SUMPRODUCT((ISNUMBER(SEARCH($B5,Tank!$B$4:$B$100)))*(LEFT(TRIM(Tank!$E$3:$CE$3),LEN(TRIM(F$2)))=TRIM(F$2))*IFERROR(Tank!$E$4:$CE$100,0)),0)+IFERROR(SUMPRODUCT((ISNUMBER(SEARCH($B5,Richard!$B$4:$B$100)))*(LEFT(TRIM(Richard!$E$3:$CE$3),LEN(TRIM(F$2)))=TRIM(F$2))*IFERROR(Richard!$E$4:$CE$100,0)),0)+IFERROR(SUMPRODUCT((ISNUMBER(SEARCH($B5,Jenny!$B$4:$B$100)))*(LEFT(TRIM(Jenny!$E$3:$CE$3),LEN(TRIM(F$2)))=TRIM(F$2))*IFERROR(Jenny!$E$4:$CE$100,0)),0)+IFERROR(SUMPRODUCT((ISNUMBER(SEARCH($B5,Cooper!$B$4:$B$100)))*(LEFT(TRIM(Cooper!$E$3:$CE$3),LEN(TRIM(F$2)))=TRIM(F$2))*IFERROR(Cooper!$E$4:$CE$100,0)),0)+IFERROR(SUMPRODUCT((ISNUMBER(SEARCH($B5,Summer!$B$4:$B$100)))*(LEFT(TRIM(Summer!$E$3:$CE$3),LEN(TRIM(F$2)))=TRIM(F$2))*IFERROR(Summer!$E$4:$CE$100,0)),0)+IFERROR(SUMPRODUCT((ISNUMBER(SEARCH($B5,Julie!$B$4:$B$100)))*(LEFT(TRIM(Julie!$E$3:$CE$3),LEN(TRIM(F$2)))=TRIM(F$2))*IFERROR(Julie!$E$4:$CE$100,0)),0)+IFERROR(SUMPRODUCT((ISNUMBER(SEARCH($B5,Jiao!$B$4:$B$100)))*(LEFT(TRIM(Jiao!$E$3:$CE$3),LEN(TRIM(F$2)))=TRIM(F$2))*IFERROR(Jiao!$E$4:$CE$100,0)),0)</f>
      </c>
      <c r="G5" s="41">
        <f>=IFERROR(SUMPRODUCT((ISNUMBER(SEARCH($B5,KeDa!$B$4:$B$100)))*(LEFT(TRIM(KeDa!$E$3:$CE$3),LEN(TRIM(G$2)))=TRIM(G$2))*IFERROR(KeDa!$E$4:$CE$100,0)),0)+IFERROR(SUMPRODUCT((ISNUMBER(SEARCH($B5,Tank!$B$4:$B$100)))*(LEFT(TRIM(Tank!$E$3:$CE$3),LEN(TRIM(G$2)))=TRIM(G$2))*IFERROR(Tank!$E$4:$CE$100,0)),0)+IFERROR(SUMPRODUCT((ISNUMBER(SEARCH($B5,Richard!$B$4:$B$100)))*(LEFT(TRIM(Richard!$E$3:$CE$3),LEN(TRIM(G$2)))=TRIM(G$2))*IFERROR(Richard!$E$4:$CE$100,0)),0)+IFERROR(SUMPRODUCT((ISNUMBER(SEARCH($B5,Jenny!$B$4:$B$100)))*(LEFT(TRIM(Jenny!$E$3:$CE$3),LEN(TRIM(G$2)))=TRIM(G$2))*IFERROR(Jenny!$E$4:$CE$100,0)),0)+IFERROR(SUMPRODUCT((ISNUMBER(SEARCH($B5,Cooper!$B$4:$B$100)))*(LEFT(TRIM(Cooper!$E$3:$CE$3),LEN(TRIM(G$2)))=TRIM(G$2))*IFERROR(Cooper!$E$4:$CE$100,0)),0)+IFERROR(SUMPRODUCT((ISNUMBER(SEARCH($B5,Summer!$B$4:$B$100)))*(LEFT(TRIM(Summer!$E$3:$CE$3),LEN(TRIM(G$2)))=TRIM(G$2))*IFERROR(Summer!$E$4:$CE$100,0)),0)+IFERROR(SUMPRODUCT((ISNUMBER(SEARCH($B5,Julie!$B$4:$B$100)))*(LEFT(TRIM(Julie!$E$3:$CE$3),LEN(TRIM(G$2)))=TRIM(G$2))*IFERROR(Julie!$E$4:$CE$100,0)),0)+IFERROR(SUMPRODUCT((ISNUMBER(SEARCH($B5,Jiao!$B$4:$B$100)))*(LEFT(TRIM(Jiao!$E$3:$CE$3),LEN(TRIM(G$2)))=TRIM(G$2))*IFERROR(Jiao!$E$4:$CE$100,0)),0)</f>
      </c>
      <c r="H5" s="41">
        <f>=IFERROR(SUMPRODUCT((ISNUMBER(SEARCH($B5,KeDa!$B$4:$B$100)))*(LEFT(TRIM(KeDa!$E$3:$CE$3),LEN(TRIM(H$2)))=TRIM(H$2))*IFERROR(KeDa!$E$4:$CE$100,0)),0)+IFERROR(SUMPRODUCT((ISNUMBER(SEARCH($B5,Tank!$B$4:$B$100)))*(LEFT(TRIM(Tank!$E$3:$CE$3),LEN(TRIM(H$2)))=TRIM(H$2))*IFERROR(Tank!$E$4:$CE$100,0)),0)+IFERROR(SUMPRODUCT((ISNUMBER(SEARCH($B5,Richard!$B$4:$B$100)))*(LEFT(TRIM(Richard!$E$3:$CE$3),LEN(TRIM(H$2)))=TRIM(H$2))*IFERROR(Richard!$E$4:$CE$100,0)),0)+IFERROR(SUMPRODUCT((ISNUMBER(SEARCH($B5,Jenny!$B$4:$B$100)))*(LEFT(TRIM(Jenny!$E$3:$CE$3),LEN(TRIM(H$2)))=TRIM(H$2))*IFERROR(Jenny!$E$4:$CE$100,0)),0)+IFERROR(SUMPRODUCT((ISNUMBER(SEARCH($B5,Cooper!$B$4:$B$100)))*(LEFT(TRIM(Cooper!$E$3:$CE$3),LEN(TRIM(H$2)))=TRIM(H$2))*IFERROR(Cooper!$E$4:$CE$100,0)),0)+IFERROR(SUMPRODUCT((ISNUMBER(SEARCH($B5,Summer!$B$4:$B$100)))*(LEFT(TRIM(Summer!$E$3:$CE$3),LEN(TRIM(H$2)))=TRIM(H$2))*IFERROR(Summer!$E$4:$CE$100,0)),0)+IFERROR(SUMPRODUCT((ISNUMBER(SEARCH($B5,Julie!$B$4:$B$100)))*(LEFT(TRIM(Julie!$E$3:$CE$3),LEN(TRIM(H$2)))=TRIM(H$2))*IFERROR(Julie!$E$4:$CE$100,0)),0)+IFERROR(SUMPRODUCT((ISNUMBER(SEARCH($B5,Jiao!$B$4:$B$100)))*(LEFT(TRIM(Jiao!$E$3:$CE$3),LEN(TRIM(H$2)))=TRIM(H$2))*IFERROR(Jiao!$E$4:$CE$100,0)),0)</f>
      </c>
      <c r="I5" s="41">
        <f>=IFERROR(SUMPRODUCT((ISNUMBER(SEARCH($B5,KeDa!$B$4:$B$100)))*(LEFT(TRIM(KeDa!$E$3:$CE$3),LEN(TRIM(I$2)))=TRIM(I$2))*IFERROR(KeDa!$E$4:$CE$100,0)),0)+IFERROR(SUMPRODUCT((ISNUMBER(SEARCH($B5,Tank!$B$4:$B$100)))*(LEFT(TRIM(Tank!$E$3:$CE$3),LEN(TRIM(I$2)))=TRIM(I$2))*IFERROR(Tank!$E$4:$CE$100,0)),0)+IFERROR(SUMPRODUCT((ISNUMBER(SEARCH($B5,Richard!$B$4:$B$100)))*(LEFT(TRIM(Richard!$E$3:$CE$3),LEN(TRIM(I$2)))=TRIM(I$2))*IFERROR(Richard!$E$4:$CE$100,0)),0)+IFERROR(SUMPRODUCT((ISNUMBER(SEARCH($B5,Jenny!$B$4:$B$100)))*(LEFT(TRIM(Jenny!$E$3:$CE$3),LEN(TRIM(I$2)))=TRIM(I$2))*IFERROR(Jenny!$E$4:$CE$100,0)),0)+IFERROR(SUMPRODUCT((ISNUMBER(SEARCH($B5,Cooper!$B$4:$B$100)))*(LEFT(TRIM(Cooper!$E$3:$CE$3),LEN(TRIM(I$2)))=TRIM(I$2))*IFERROR(Cooper!$E$4:$CE$100,0)),0)+IFERROR(SUMPRODUCT((ISNUMBER(SEARCH($B5,Summer!$B$4:$B$100)))*(LEFT(TRIM(Summer!$E$3:$CE$3),LEN(TRIM(I$2)))=TRIM(I$2))*IFERROR(Summer!$E$4:$CE$100,0)),0)+IFERROR(SUMPRODUCT((ISNUMBER(SEARCH($B5,Julie!$B$4:$B$100)))*(LEFT(TRIM(Julie!$E$3:$CE$3),LEN(TRIM(I$2)))=TRIM(I$2))*IFERROR(Julie!$E$4:$CE$100,0)),0)+IFERROR(SUMPRODUCT((ISNUMBER(SEARCH($B5,Jiao!$B$4:$B$100)))*(LEFT(TRIM(Jiao!$E$3:$CE$3),LEN(TRIM(I$2)))=TRIM(I$2))*IFERROR(Jiao!$E$4:$CE$100,0)),0)</f>
      </c>
      <c r="J5" s="41">
        <f>=IFERROR(SUMPRODUCT((ISNUMBER(SEARCH($B5,KeDa!$B$4:$B$100)))*(LEFT(TRIM(KeDa!$E$3:$CE$3),LEN(TRIM(J$2)))=TRIM(J$2))*IFERROR(KeDa!$E$4:$CE$100,0)),0)+IFERROR(SUMPRODUCT((ISNUMBER(SEARCH($B5,Tank!$B$4:$B$100)))*(LEFT(TRIM(Tank!$E$3:$CE$3),LEN(TRIM(J$2)))=TRIM(J$2))*IFERROR(Tank!$E$4:$CE$100,0)),0)+IFERROR(SUMPRODUCT((ISNUMBER(SEARCH($B5,Richard!$B$4:$B$100)))*(LEFT(TRIM(Richard!$E$3:$CE$3),LEN(TRIM(J$2)))=TRIM(J$2))*IFERROR(Richard!$E$4:$CE$100,0)),0)+IFERROR(SUMPRODUCT((ISNUMBER(SEARCH($B5,Jenny!$B$4:$B$100)))*(LEFT(TRIM(Jenny!$E$3:$CE$3),LEN(TRIM(J$2)))=TRIM(J$2))*IFERROR(Jenny!$E$4:$CE$100,0)),0)+IFERROR(SUMPRODUCT((ISNUMBER(SEARCH($B5,Cooper!$B$4:$B$100)))*(LEFT(TRIM(Cooper!$E$3:$CE$3),LEN(TRIM(J$2)))=TRIM(J$2))*IFERROR(Cooper!$E$4:$CE$100,0)),0)+IFERROR(SUMPRODUCT((ISNUMBER(SEARCH($B5,Summer!$B$4:$B$100)))*(LEFT(TRIM(Summer!$E$3:$CE$3),LEN(TRIM(J$2)))=TRIM(J$2))*IFERROR(Summer!$E$4:$CE$100,0)),0)+IFERROR(SUMPRODUCT((ISNUMBER(SEARCH($B5,Julie!$B$4:$B$100)))*(LEFT(TRIM(Julie!$E$3:$CE$3),LEN(TRIM(J$2)))=TRIM(J$2))*IFERROR(Julie!$E$4:$CE$100,0)),0)+IFERROR(SUMPRODUCT((ISNUMBER(SEARCH($B5,Jiao!$B$4:$B$100)))*(LEFT(TRIM(Jiao!$E$3:$CE$3),LEN(TRIM(J$2)))=TRIM(J$2))*IFERROR(Jiao!$E$4:$CE$100,0)),0)</f>
      </c>
      <c r="K5" s="41">
        <f>=IFERROR(SUMPRODUCT((ISNUMBER(SEARCH($B5,KeDa!$B$4:$B$100)))*(LEFT(TRIM(KeDa!$E$3:$CE$3),LEN(TRIM(K$2)))=TRIM(K$2))*IFERROR(KeDa!$E$4:$CE$100,0)),0)+IFERROR(SUMPRODUCT((ISNUMBER(SEARCH($B5,Tank!$B$4:$B$100)))*(LEFT(TRIM(Tank!$E$3:$CE$3),LEN(TRIM(K$2)))=TRIM(K$2))*IFERROR(Tank!$E$4:$CE$100,0)),0)+IFERROR(SUMPRODUCT((ISNUMBER(SEARCH($B5,Richard!$B$4:$B$100)))*(LEFT(TRIM(Richard!$E$3:$CE$3),LEN(TRIM(K$2)))=TRIM(K$2))*IFERROR(Richard!$E$4:$CE$100,0)),0)+IFERROR(SUMPRODUCT((ISNUMBER(SEARCH($B5,Jenny!$B$4:$B$100)))*(LEFT(TRIM(Jenny!$E$3:$CE$3),LEN(TRIM(K$2)))=TRIM(K$2))*IFERROR(Jenny!$E$4:$CE$100,0)),0)+IFERROR(SUMPRODUCT((ISNUMBER(SEARCH($B5,Cooper!$B$4:$B$100)))*(LEFT(TRIM(Cooper!$E$3:$CE$3),LEN(TRIM(K$2)))=TRIM(K$2))*IFERROR(Cooper!$E$4:$CE$100,0)),0)+IFERROR(SUMPRODUCT((ISNUMBER(SEARCH($B5,Summer!$B$4:$B$100)))*(LEFT(TRIM(Summer!$E$3:$CE$3),LEN(TRIM(K$2)))=TRIM(K$2))*IFERROR(Summer!$E$4:$CE$100,0)),0)+IFERROR(SUMPRODUCT((ISNUMBER(SEARCH($B5,Julie!$B$4:$B$100)))*(LEFT(TRIM(Julie!$E$3:$CE$3),LEN(TRIM(K$2)))=TRIM(K$2))*IFERROR(Julie!$E$4:$CE$100,0)),0)+IFERROR(SUMPRODUCT((ISNUMBER(SEARCH($B5,Jiao!$B$4:$B$100)))*(LEFT(TRIM(Jiao!$E$3:$CE$3),LEN(TRIM(K$2)))=TRIM(K$2))*IFERROR(Jiao!$E$4:$CE$100,0)),0)</f>
      </c>
    </row>
    <row r="6" spans="1:11">
      <c r="A6" s="39">
        <v>4</v>
      </c>
      <c r="B6" s="40" t="s">
        <v>114</v>
      </c>
      <c r="C6" s="40" t="s">
        <v>97</v>
      </c>
      <c r="D6" s="40" t="s">
        <v>96</v>
      </c>
      <c r="E6" s="41">
        <f>=IFERROR(SUMPRODUCT((ISNUMBER(SEARCH($B6,KeDa!$B$4:$B$100)))*(LEFT(TRIM(KeDa!$E$3:$CE$3),LEN(TRIM(E$2)))=TRIM(E$2))*IFERROR(KeDa!$E$4:$CE$100,0)),0)+IFERROR(SUMPRODUCT((ISNUMBER(SEARCH($B6,Tank!$B$4:$B$100)))*(LEFT(TRIM(Tank!$E$3:$CE$3),LEN(TRIM(E$2)))=TRIM(E$2))*IFERROR(Tank!$E$4:$CE$100,0)),0)+IFERROR(SUMPRODUCT((ISNUMBER(SEARCH($B6,Richard!$B$4:$B$100)))*(LEFT(TRIM(Richard!$E$3:$CE$3),LEN(TRIM(E$2)))=TRIM(E$2))*IFERROR(Richard!$E$4:$CE$100,0)),0)+IFERROR(SUMPRODUCT((ISNUMBER(SEARCH($B6,Jenny!$B$4:$B$100)))*(LEFT(TRIM(Jenny!$E$3:$CE$3),LEN(TRIM(E$2)))=TRIM(E$2))*IFERROR(Jenny!$E$4:$CE$100,0)),0)+IFERROR(SUMPRODUCT((ISNUMBER(SEARCH($B6,Cooper!$B$4:$B$100)))*(LEFT(TRIM(Cooper!$E$3:$CE$3),LEN(TRIM(E$2)))=TRIM(E$2))*IFERROR(Cooper!$E$4:$CE$100,0)),0)+IFERROR(SUMPRODUCT((ISNUMBER(SEARCH($B6,Summer!$B$4:$B$100)))*(LEFT(TRIM(Summer!$E$3:$CE$3),LEN(TRIM(E$2)))=TRIM(E$2))*IFERROR(Summer!$E$4:$CE$100,0)),0)+IFERROR(SUMPRODUCT((ISNUMBER(SEARCH($B6,Julie!$B$4:$B$100)))*(LEFT(TRIM(Julie!$E$3:$CE$3),LEN(TRIM(E$2)))=TRIM(E$2))*IFERROR(Julie!$E$4:$CE$100,0)),0)+IFERROR(SUMPRODUCT((ISNUMBER(SEARCH($B6,Jiao!$B$4:$B$100)))*(LEFT(TRIM(Jiao!$E$3:$CE$3),LEN(TRIM(E$2)))=TRIM(E$2))*IFERROR(Jiao!$E$4:$CE$100,0)),0)</f>
      </c>
      <c r="F6" s="41">
        <f>=IFERROR(SUMPRODUCT((ISNUMBER(SEARCH($B6,KeDa!$B$4:$B$100)))*(LEFT(TRIM(KeDa!$E$3:$CE$3),LEN(TRIM(F$2)))=TRIM(F$2))*IFERROR(KeDa!$E$4:$CE$100,0)),0)+IFERROR(SUMPRODUCT((ISNUMBER(SEARCH($B6,Tank!$B$4:$B$100)))*(LEFT(TRIM(Tank!$E$3:$CE$3),LEN(TRIM(F$2)))=TRIM(F$2))*IFERROR(Tank!$E$4:$CE$100,0)),0)+IFERROR(SUMPRODUCT((ISNUMBER(SEARCH($B6,Richard!$B$4:$B$100)))*(LEFT(TRIM(Richard!$E$3:$CE$3),LEN(TRIM(F$2)))=TRIM(F$2))*IFERROR(Richard!$E$4:$CE$100,0)),0)+IFERROR(SUMPRODUCT((ISNUMBER(SEARCH($B6,Jenny!$B$4:$B$100)))*(LEFT(TRIM(Jenny!$E$3:$CE$3),LEN(TRIM(F$2)))=TRIM(F$2))*IFERROR(Jenny!$E$4:$CE$100,0)),0)+IFERROR(SUMPRODUCT((ISNUMBER(SEARCH($B6,Cooper!$B$4:$B$100)))*(LEFT(TRIM(Cooper!$E$3:$CE$3),LEN(TRIM(F$2)))=TRIM(F$2))*IFERROR(Cooper!$E$4:$CE$100,0)),0)+IFERROR(SUMPRODUCT((ISNUMBER(SEARCH($B6,Summer!$B$4:$B$100)))*(LEFT(TRIM(Summer!$E$3:$CE$3),LEN(TRIM(F$2)))=TRIM(F$2))*IFERROR(Summer!$E$4:$CE$100,0)),0)+IFERROR(SUMPRODUCT((ISNUMBER(SEARCH($B6,Julie!$B$4:$B$100)))*(LEFT(TRIM(Julie!$E$3:$CE$3),LEN(TRIM(F$2)))=TRIM(F$2))*IFERROR(Julie!$E$4:$CE$100,0)),0)+IFERROR(SUMPRODUCT((ISNUMBER(SEARCH($B6,Jiao!$B$4:$B$100)))*(LEFT(TRIM(Jiao!$E$3:$CE$3),LEN(TRIM(F$2)))=TRIM(F$2))*IFERROR(Jiao!$E$4:$CE$100,0)),0)</f>
      </c>
      <c r="G6" s="41">
        <f>=IFERROR(SUMPRODUCT((ISNUMBER(SEARCH($B6,KeDa!$B$4:$B$100)))*(LEFT(TRIM(KeDa!$E$3:$CE$3),LEN(TRIM(G$2)))=TRIM(G$2))*IFERROR(KeDa!$E$4:$CE$100,0)),0)+IFERROR(SUMPRODUCT((ISNUMBER(SEARCH($B6,Tank!$B$4:$B$100)))*(LEFT(TRIM(Tank!$E$3:$CE$3),LEN(TRIM(G$2)))=TRIM(G$2))*IFERROR(Tank!$E$4:$CE$100,0)),0)+IFERROR(SUMPRODUCT((ISNUMBER(SEARCH($B6,Richard!$B$4:$B$100)))*(LEFT(TRIM(Richard!$E$3:$CE$3),LEN(TRIM(G$2)))=TRIM(G$2))*IFERROR(Richard!$E$4:$CE$100,0)),0)+IFERROR(SUMPRODUCT((ISNUMBER(SEARCH($B6,Jenny!$B$4:$B$100)))*(LEFT(TRIM(Jenny!$E$3:$CE$3),LEN(TRIM(G$2)))=TRIM(G$2))*IFERROR(Jenny!$E$4:$CE$100,0)),0)+IFERROR(SUMPRODUCT((ISNUMBER(SEARCH($B6,Cooper!$B$4:$B$100)))*(LEFT(TRIM(Cooper!$E$3:$CE$3),LEN(TRIM(G$2)))=TRIM(G$2))*IFERROR(Cooper!$E$4:$CE$100,0)),0)+IFERROR(SUMPRODUCT((ISNUMBER(SEARCH($B6,Summer!$B$4:$B$100)))*(LEFT(TRIM(Summer!$E$3:$CE$3),LEN(TRIM(G$2)))=TRIM(G$2))*IFERROR(Summer!$E$4:$CE$100,0)),0)+IFERROR(SUMPRODUCT((ISNUMBER(SEARCH($B6,Julie!$B$4:$B$100)))*(LEFT(TRIM(Julie!$E$3:$CE$3),LEN(TRIM(G$2)))=TRIM(G$2))*IFERROR(Julie!$E$4:$CE$100,0)),0)+IFERROR(SUMPRODUCT((ISNUMBER(SEARCH($B6,Jiao!$B$4:$B$100)))*(LEFT(TRIM(Jiao!$E$3:$CE$3),LEN(TRIM(G$2)))=TRIM(G$2))*IFERROR(Jiao!$E$4:$CE$100,0)),0)</f>
      </c>
      <c r="H6" s="41">
        <f>=IFERROR(SUMPRODUCT((ISNUMBER(SEARCH($B6,KeDa!$B$4:$B$100)))*(LEFT(TRIM(KeDa!$E$3:$CE$3),LEN(TRIM(H$2)))=TRIM(H$2))*IFERROR(KeDa!$E$4:$CE$100,0)),0)+IFERROR(SUMPRODUCT((ISNUMBER(SEARCH($B6,Tank!$B$4:$B$100)))*(LEFT(TRIM(Tank!$E$3:$CE$3),LEN(TRIM(H$2)))=TRIM(H$2))*IFERROR(Tank!$E$4:$CE$100,0)),0)+IFERROR(SUMPRODUCT((ISNUMBER(SEARCH($B6,Richard!$B$4:$B$100)))*(LEFT(TRIM(Richard!$E$3:$CE$3),LEN(TRIM(H$2)))=TRIM(H$2))*IFERROR(Richard!$E$4:$CE$100,0)),0)+IFERROR(SUMPRODUCT((ISNUMBER(SEARCH($B6,Jenny!$B$4:$B$100)))*(LEFT(TRIM(Jenny!$E$3:$CE$3),LEN(TRIM(H$2)))=TRIM(H$2))*IFERROR(Jenny!$E$4:$CE$100,0)),0)+IFERROR(SUMPRODUCT((ISNUMBER(SEARCH($B6,Cooper!$B$4:$B$100)))*(LEFT(TRIM(Cooper!$E$3:$CE$3),LEN(TRIM(H$2)))=TRIM(H$2))*IFERROR(Cooper!$E$4:$CE$100,0)),0)+IFERROR(SUMPRODUCT((ISNUMBER(SEARCH($B6,Summer!$B$4:$B$100)))*(LEFT(TRIM(Summer!$E$3:$CE$3),LEN(TRIM(H$2)))=TRIM(H$2))*IFERROR(Summer!$E$4:$CE$100,0)),0)+IFERROR(SUMPRODUCT((ISNUMBER(SEARCH($B6,Julie!$B$4:$B$100)))*(LEFT(TRIM(Julie!$E$3:$CE$3),LEN(TRIM(H$2)))=TRIM(H$2))*IFERROR(Julie!$E$4:$CE$100,0)),0)+IFERROR(SUMPRODUCT((ISNUMBER(SEARCH($B6,Jiao!$B$4:$B$100)))*(LEFT(TRIM(Jiao!$E$3:$CE$3),LEN(TRIM(H$2)))=TRIM(H$2))*IFERROR(Jiao!$E$4:$CE$100,0)),0)</f>
      </c>
      <c r="I6" s="41">
        <f>=IFERROR(SUMPRODUCT((ISNUMBER(SEARCH($B6,KeDa!$B$4:$B$100)))*(LEFT(TRIM(KeDa!$E$3:$CE$3),LEN(TRIM(I$2)))=TRIM(I$2))*IFERROR(KeDa!$E$4:$CE$100,0)),0)+IFERROR(SUMPRODUCT((ISNUMBER(SEARCH($B6,Tank!$B$4:$B$100)))*(LEFT(TRIM(Tank!$E$3:$CE$3),LEN(TRIM(I$2)))=TRIM(I$2))*IFERROR(Tank!$E$4:$CE$100,0)),0)+IFERROR(SUMPRODUCT((ISNUMBER(SEARCH($B6,Richard!$B$4:$B$100)))*(LEFT(TRIM(Richard!$E$3:$CE$3),LEN(TRIM(I$2)))=TRIM(I$2))*IFERROR(Richard!$E$4:$CE$100,0)),0)+IFERROR(SUMPRODUCT((ISNUMBER(SEARCH($B6,Jenny!$B$4:$B$100)))*(LEFT(TRIM(Jenny!$E$3:$CE$3),LEN(TRIM(I$2)))=TRIM(I$2))*IFERROR(Jenny!$E$4:$CE$100,0)),0)+IFERROR(SUMPRODUCT((ISNUMBER(SEARCH($B6,Cooper!$B$4:$B$100)))*(LEFT(TRIM(Cooper!$E$3:$CE$3),LEN(TRIM(I$2)))=TRIM(I$2))*IFERROR(Cooper!$E$4:$CE$100,0)),0)+IFERROR(SUMPRODUCT((ISNUMBER(SEARCH($B6,Summer!$B$4:$B$100)))*(LEFT(TRIM(Summer!$E$3:$CE$3),LEN(TRIM(I$2)))=TRIM(I$2))*IFERROR(Summer!$E$4:$CE$100,0)),0)+IFERROR(SUMPRODUCT((ISNUMBER(SEARCH($B6,Julie!$B$4:$B$100)))*(LEFT(TRIM(Julie!$E$3:$CE$3),LEN(TRIM(I$2)))=TRIM(I$2))*IFERROR(Julie!$E$4:$CE$100,0)),0)+IFERROR(SUMPRODUCT((ISNUMBER(SEARCH($B6,Jiao!$B$4:$B$100)))*(LEFT(TRIM(Jiao!$E$3:$CE$3),LEN(TRIM(I$2)))=TRIM(I$2))*IFERROR(Jiao!$E$4:$CE$100,0)),0)</f>
      </c>
      <c r="J6" s="41">
        <f>=IFERROR(SUMPRODUCT((ISNUMBER(SEARCH($B6,KeDa!$B$4:$B$100)))*(LEFT(TRIM(KeDa!$E$3:$CE$3),LEN(TRIM(J$2)))=TRIM(J$2))*IFERROR(KeDa!$E$4:$CE$100,0)),0)+IFERROR(SUMPRODUCT((ISNUMBER(SEARCH($B6,Tank!$B$4:$B$100)))*(LEFT(TRIM(Tank!$E$3:$CE$3),LEN(TRIM(J$2)))=TRIM(J$2))*IFERROR(Tank!$E$4:$CE$100,0)),0)+IFERROR(SUMPRODUCT((ISNUMBER(SEARCH($B6,Richard!$B$4:$B$100)))*(LEFT(TRIM(Richard!$E$3:$CE$3),LEN(TRIM(J$2)))=TRIM(J$2))*IFERROR(Richard!$E$4:$CE$100,0)),0)+IFERROR(SUMPRODUCT((ISNUMBER(SEARCH($B6,Jenny!$B$4:$B$100)))*(LEFT(TRIM(Jenny!$E$3:$CE$3),LEN(TRIM(J$2)))=TRIM(J$2))*IFERROR(Jenny!$E$4:$CE$100,0)),0)+IFERROR(SUMPRODUCT((ISNUMBER(SEARCH($B6,Cooper!$B$4:$B$100)))*(LEFT(TRIM(Cooper!$E$3:$CE$3),LEN(TRIM(J$2)))=TRIM(J$2))*IFERROR(Cooper!$E$4:$CE$100,0)),0)+IFERROR(SUMPRODUCT((ISNUMBER(SEARCH($B6,Summer!$B$4:$B$100)))*(LEFT(TRIM(Summer!$E$3:$CE$3),LEN(TRIM(J$2)))=TRIM(J$2))*IFERROR(Summer!$E$4:$CE$100,0)),0)+IFERROR(SUMPRODUCT((ISNUMBER(SEARCH($B6,Julie!$B$4:$B$100)))*(LEFT(TRIM(Julie!$E$3:$CE$3),LEN(TRIM(J$2)))=TRIM(J$2))*IFERROR(Julie!$E$4:$CE$100,0)),0)+IFERROR(SUMPRODUCT((ISNUMBER(SEARCH($B6,Jiao!$B$4:$B$100)))*(LEFT(TRIM(Jiao!$E$3:$CE$3),LEN(TRIM(J$2)))=TRIM(J$2))*IFERROR(Jiao!$E$4:$CE$100,0)),0)</f>
      </c>
      <c r="K6" s="41">
        <f>=IFERROR(SUMPRODUCT((ISNUMBER(SEARCH($B6,KeDa!$B$4:$B$100)))*(LEFT(TRIM(KeDa!$E$3:$CE$3),LEN(TRIM(K$2)))=TRIM(K$2))*IFERROR(KeDa!$E$4:$CE$100,0)),0)+IFERROR(SUMPRODUCT((ISNUMBER(SEARCH($B6,Tank!$B$4:$B$100)))*(LEFT(TRIM(Tank!$E$3:$CE$3),LEN(TRIM(K$2)))=TRIM(K$2))*IFERROR(Tank!$E$4:$CE$100,0)),0)+IFERROR(SUMPRODUCT((ISNUMBER(SEARCH($B6,Richard!$B$4:$B$100)))*(LEFT(TRIM(Richard!$E$3:$CE$3),LEN(TRIM(K$2)))=TRIM(K$2))*IFERROR(Richard!$E$4:$CE$100,0)),0)+IFERROR(SUMPRODUCT((ISNUMBER(SEARCH($B6,Jenny!$B$4:$B$100)))*(LEFT(TRIM(Jenny!$E$3:$CE$3),LEN(TRIM(K$2)))=TRIM(K$2))*IFERROR(Jenny!$E$4:$CE$100,0)),0)+IFERROR(SUMPRODUCT((ISNUMBER(SEARCH($B6,Cooper!$B$4:$B$100)))*(LEFT(TRIM(Cooper!$E$3:$CE$3),LEN(TRIM(K$2)))=TRIM(K$2))*IFERROR(Cooper!$E$4:$CE$100,0)),0)+IFERROR(SUMPRODUCT((ISNUMBER(SEARCH($B6,Summer!$B$4:$B$100)))*(LEFT(TRIM(Summer!$E$3:$CE$3),LEN(TRIM(K$2)))=TRIM(K$2))*IFERROR(Summer!$E$4:$CE$100,0)),0)+IFERROR(SUMPRODUCT((ISNUMBER(SEARCH($B6,Julie!$B$4:$B$100)))*(LEFT(TRIM(Julie!$E$3:$CE$3),LEN(TRIM(K$2)))=TRIM(K$2))*IFERROR(Julie!$E$4:$CE$100,0)),0)+IFERROR(SUMPRODUCT((ISNUMBER(SEARCH($B6,Jiao!$B$4:$B$100)))*(LEFT(TRIM(Jiao!$E$3:$CE$3),LEN(TRIM(K$2)))=TRIM(K$2))*IFERROR(Jiao!$E$4:$CE$100,0)),0)</f>
      </c>
    </row>
    <row r="7" spans="1:11">
      <c r="A7" s="39">
        <v>5</v>
      </c>
      <c r="B7" s="40" t="s">
        <v>115</v>
      </c>
      <c r="C7" s="40" t="s">
        <v>104</v>
      </c>
      <c r="D7" s="40" t="s">
        <v>96</v>
      </c>
      <c r="E7" s="41">
        <f>=IFERROR(SUMPRODUCT((ISNUMBER(SEARCH($B7,KeDa!$B$4:$B$100)))*(LEFT(TRIM(KeDa!$E$3:$CE$3),LEN(TRIM(E$2)))=TRIM(E$2))*IFERROR(KeDa!$E$4:$CE$100,0)),0)+IFERROR(SUMPRODUCT((ISNUMBER(SEARCH($B7,Tank!$B$4:$B$100)))*(LEFT(TRIM(Tank!$E$3:$CE$3),LEN(TRIM(E$2)))=TRIM(E$2))*IFERROR(Tank!$E$4:$CE$100,0)),0)+IFERROR(SUMPRODUCT((ISNUMBER(SEARCH($B7,Richard!$B$4:$B$100)))*(LEFT(TRIM(Richard!$E$3:$CE$3),LEN(TRIM(E$2)))=TRIM(E$2))*IFERROR(Richard!$E$4:$CE$100,0)),0)+IFERROR(SUMPRODUCT((ISNUMBER(SEARCH($B7,Jenny!$B$4:$B$100)))*(LEFT(TRIM(Jenny!$E$3:$CE$3),LEN(TRIM(E$2)))=TRIM(E$2))*IFERROR(Jenny!$E$4:$CE$100,0)),0)+IFERROR(SUMPRODUCT((ISNUMBER(SEARCH($B7,Cooper!$B$4:$B$100)))*(LEFT(TRIM(Cooper!$E$3:$CE$3),LEN(TRIM(E$2)))=TRIM(E$2))*IFERROR(Cooper!$E$4:$CE$100,0)),0)+IFERROR(SUMPRODUCT((ISNUMBER(SEARCH($B7,Summer!$B$4:$B$100)))*(LEFT(TRIM(Summer!$E$3:$CE$3),LEN(TRIM(E$2)))=TRIM(E$2))*IFERROR(Summer!$E$4:$CE$100,0)),0)+IFERROR(SUMPRODUCT((ISNUMBER(SEARCH($B7,Julie!$B$4:$B$100)))*(LEFT(TRIM(Julie!$E$3:$CE$3),LEN(TRIM(E$2)))=TRIM(E$2))*IFERROR(Julie!$E$4:$CE$100,0)),0)+IFERROR(SUMPRODUCT((ISNUMBER(SEARCH($B7,Jiao!$B$4:$B$100)))*(LEFT(TRIM(Jiao!$E$3:$CE$3),LEN(TRIM(E$2)))=TRIM(E$2))*IFERROR(Jiao!$E$4:$CE$100,0)),0)</f>
      </c>
      <c r="F7" s="41">
        <f>=IFERROR(SUMPRODUCT((ISNUMBER(SEARCH($B7,KeDa!$B$4:$B$100)))*(LEFT(TRIM(KeDa!$E$3:$CE$3),LEN(TRIM(F$2)))=TRIM(F$2))*IFERROR(KeDa!$E$4:$CE$100,0)),0)+IFERROR(SUMPRODUCT((ISNUMBER(SEARCH($B7,Tank!$B$4:$B$100)))*(LEFT(TRIM(Tank!$E$3:$CE$3),LEN(TRIM(F$2)))=TRIM(F$2))*IFERROR(Tank!$E$4:$CE$100,0)),0)+IFERROR(SUMPRODUCT((ISNUMBER(SEARCH($B7,Richard!$B$4:$B$100)))*(LEFT(TRIM(Richard!$E$3:$CE$3),LEN(TRIM(F$2)))=TRIM(F$2))*IFERROR(Richard!$E$4:$CE$100,0)),0)+IFERROR(SUMPRODUCT((ISNUMBER(SEARCH($B7,Jenny!$B$4:$B$100)))*(LEFT(TRIM(Jenny!$E$3:$CE$3),LEN(TRIM(F$2)))=TRIM(F$2))*IFERROR(Jenny!$E$4:$CE$100,0)),0)+IFERROR(SUMPRODUCT((ISNUMBER(SEARCH($B7,Cooper!$B$4:$B$100)))*(LEFT(TRIM(Cooper!$E$3:$CE$3),LEN(TRIM(F$2)))=TRIM(F$2))*IFERROR(Cooper!$E$4:$CE$100,0)),0)+IFERROR(SUMPRODUCT((ISNUMBER(SEARCH($B7,Summer!$B$4:$B$100)))*(LEFT(TRIM(Summer!$E$3:$CE$3),LEN(TRIM(F$2)))=TRIM(F$2))*IFERROR(Summer!$E$4:$CE$100,0)),0)+IFERROR(SUMPRODUCT((ISNUMBER(SEARCH($B7,Julie!$B$4:$B$100)))*(LEFT(TRIM(Julie!$E$3:$CE$3),LEN(TRIM(F$2)))=TRIM(F$2))*IFERROR(Julie!$E$4:$CE$100,0)),0)+IFERROR(SUMPRODUCT((ISNUMBER(SEARCH($B7,Jiao!$B$4:$B$100)))*(LEFT(TRIM(Jiao!$E$3:$CE$3),LEN(TRIM(F$2)))=TRIM(F$2))*IFERROR(Jiao!$E$4:$CE$100,0)),0)</f>
      </c>
      <c r="G7" s="41">
        <f>=IFERROR(SUMPRODUCT((ISNUMBER(SEARCH($B7,KeDa!$B$4:$B$100)))*(LEFT(TRIM(KeDa!$E$3:$CE$3),LEN(TRIM(G$2)))=TRIM(G$2))*IFERROR(KeDa!$E$4:$CE$100,0)),0)+IFERROR(SUMPRODUCT((ISNUMBER(SEARCH($B7,Tank!$B$4:$B$100)))*(LEFT(TRIM(Tank!$E$3:$CE$3),LEN(TRIM(G$2)))=TRIM(G$2))*IFERROR(Tank!$E$4:$CE$100,0)),0)+IFERROR(SUMPRODUCT((ISNUMBER(SEARCH($B7,Richard!$B$4:$B$100)))*(LEFT(TRIM(Richard!$E$3:$CE$3),LEN(TRIM(G$2)))=TRIM(G$2))*IFERROR(Richard!$E$4:$CE$100,0)),0)+IFERROR(SUMPRODUCT((ISNUMBER(SEARCH($B7,Jenny!$B$4:$B$100)))*(LEFT(TRIM(Jenny!$E$3:$CE$3),LEN(TRIM(G$2)))=TRIM(G$2))*IFERROR(Jenny!$E$4:$CE$100,0)),0)+IFERROR(SUMPRODUCT((ISNUMBER(SEARCH($B7,Cooper!$B$4:$B$100)))*(LEFT(TRIM(Cooper!$E$3:$CE$3),LEN(TRIM(G$2)))=TRIM(G$2))*IFERROR(Cooper!$E$4:$CE$100,0)),0)+IFERROR(SUMPRODUCT((ISNUMBER(SEARCH($B7,Summer!$B$4:$B$100)))*(LEFT(TRIM(Summer!$E$3:$CE$3),LEN(TRIM(G$2)))=TRIM(G$2))*IFERROR(Summer!$E$4:$CE$100,0)),0)+IFERROR(SUMPRODUCT((ISNUMBER(SEARCH($B7,Julie!$B$4:$B$100)))*(LEFT(TRIM(Julie!$E$3:$CE$3),LEN(TRIM(G$2)))=TRIM(G$2))*IFERROR(Julie!$E$4:$CE$100,0)),0)+IFERROR(SUMPRODUCT((ISNUMBER(SEARCH($B7,Jiao!$B$4:$B$100)))*(LEFT(TRIM(Jiao!$E$3:$CE$3),LEN(TRIM(G$2)))=TRIM(G$2))*IFERROR(Jiao!$E$4:$CE$100,0)),0)</f>
      </c>
      <c r="H7" s="41">
        <f>=IFERROR(SUMPRODUCT((ISNUMBER(SEARCH($B7,KeDa!$B$4:$B$100)))*(LEFT(TRIM(KeDa!$E$3:$CE$3),LEN(TRIM(H$2)))=TRIM(H$2))*IFERROR(KeDa!$E$4:$CE$100,0)),0)+IFERROR(SUMPRODUCT((ISNUMBER(SEARCH($B7,Tank!$B$4:$B$100)))*(LEFT(TRIM(Tank!$E$3:$CE$3),LEN(TRIM(H$2)))=TRIM(H$2))*IFERROR(Tank!$E$4:$CE$100,0)),0)+IFERROR(SUMPRODUCT((ISNUMBER(SEARCH($B7,Richard!$B$4:$B$100)))*(LEFT(TRIM(Richard!$E$3:$CE$3),LEN(TRIM(H$2)))=TRIM(H$2))*IFERROR(Richard!$E$4:$CE$100,0)),0)+IFERROR(SUMPRODUCT((ISNUMBER(SEARCH($B7,Jenny!$B$4:$B$100)))*(LEFT(TRIM(Jenny!$E$3:$CE$3),LEN(TRIM(H$2)))=TRIM(H$2))*IFERROR(Jenny!$E$4:$CE$100,0)),0)+IFERROR(SUMPRODUCT((ISNUMBER(SEARCH($B7,Cooper!$B$4:$B$100)))*(LEFT(TRIM(Cooper!$E$3:$CE$3),LEN(TRIM(H$2)))=TRIM(H$2))*IFERROR(Cooper!$E$4:$CE$100,0)),0)+IFERROR(SUMPRODUCT((ISNUMBER(SEARCH($B7,Summer!$B$4:$B$100)))*(LEFT(TRIM(Summer!$E$3:$CE$3),LEN(TRIM(H$2)))=TRIM(H$2))*IFERROR(Summer!$E$4:$CE$100,0)),0)+IFERROR(SUMPRODUCT((ISNUMBER(SEARCH($B7,Julie!$B$4:$B$100)))*(LEFT(TRIM(Julie!$E$3:$CE$3),LEN(TRIM(H$2)))=TRIM(H$2))*IFERROR(Julie!$E$4:$CE$100,0)),0)+IFERROR(SUMPRODUCT((ISNUMBER(SEARCH($B7,Jiao!$B$4:$B$100)))*(LEFT(TRIM(Jiao!$E$3:$CE$3),LEN(TRIM(H$2)))=TRIM(H$2))*IFERROR(Jiao!$E$4:$CE$100,0)),0)</f>
      </c>
      <c r="I7" s="41">
        <f>=IFERROR(SUMPRODUCT((ISNUMBER(SEARCH($B7,KeDa!$B$4:$B$100)))*(LEFT(TRIM(KeDa!$E$3:$CE$3),LEN(TRIM(I$2)))=TRIM(I$2))*IFERROR(KeDa!$E$4:$CE$100,0)),0)+IFERROR(SUMPRODUCT((ISNUMBER(SEARCH($B7,Tank!$B$4:$B$100)))*(LEFT(TRIM(Tank!$E$3:$CE$3),LEN(TRIM(I$2)))=TRIM(I$2))*IFERROR(Tank!$E$4:$CE$100,0)),0)+IFERROR(SUMPRODUCT((ISNUMBER(SEARCH($B7,Richard!$B$4:$B$100)))*(LEFT(TRIM(Richard!$E$3:$CE$3),LEN(TRIM(I$2)))=TRIM(I$2))*IFERROR(Richard!$E$4:$CE$100,0)),0)+IFERROR(SUMPRODUCT((ISNUMBER(SEARCH($B7,Jenny!$B$4:$B$100)))*(LEFT(TRIM(Jenny!$E$3:$CE$3),LEN(TRIM(I$2)))=TRIM(I$2))*IFERROR(Jenny!$E$4:$CE$100,0)),0)+IFERROR(SUMPRODUCT((ISNUMBER(SEARCH($B7,Cooper!$B$4:$B$100)))*(LEFT(TRIM(Cooper!$E$3:$CE$3),LEN(TRIM(I$2)))=TRIM(I$2))*IFERROR(Cooper!$E$4:$CE$100,0)),0)+IFERROR(SUMPRODUCT((ISNUMBER(SEARCH($B7,Summer!$B$4:$B$100)))*(LEFT(TRIM(Summer!$E$3:$CE$3),LEN(TRIM(I$2)))=TRIM(I$2))*IFERROR(Summer!$E$4:$CE$100,0)),0)+IFERROR(SUMPRODUCT((ISNUMBER(SEARCH($B7,Julie!$B$4:$B$100)))*(LEFT(TRIM(Julie!$E$3:$CE$3),LEN(TRIM(I$2)))=TRIM(I$2))*IFERROR(Julie!$E$4:$CE$100,0)),0)+IFERROR(SUMPRODUCT((ISNUMBER(SEARCH($B7,Jiao!$B$4:$B$100)))*(LEFT(TRIM(Jiao!$E$3:$CE$3),LEN(TRIM(I$2)))=TRIM(I$2))*IFERROR(Jiao!$E$4:$CE$100,0)),0)</f>
      </c>
      <c r="J7" s="41">
        <f>=IFERROR(SUMPRODUCT((ISNUMBER(SEARCH($B7,KeDa!$B$4:$B$100)))*(LEFT(TRIM(KeDa!$E$3:$CE$3),LEN(TRIM(J$2)))=TRIM(J$2))*IFERROR(KeDa!$E$4:$CE$100,0)),0)+IFERROR(SUMPRODUCT((ISNUMBER(SEARCH($B7,Tank!$B$4:$B$100)))*(LEFT(TRIM(Tank!$E$3:$CE$3),LEN(TRIM(J$2)))=TRIM(J$2))*IFERROR(Tank!$E$4:$CE$100,0)),0)+IFERROR(SUMPRODUCT((ISNUMBER(SEARCH($B7,Richard!$B$4:$B$100)))*(LEFT(TRIM(Richard!$E$3:$CE$3),LEN(TRIM(J$2)))=TRIM(J$2))*IFERROR(Richard!$E$4:$CE$100,0)),0)+IFERROR(SUMPRODUCT((ISNUMBER(SEARCH($B7,Jenny!$B$4:$B$100)))*(LEFT(TRIM(Jenny!$E$3:$CE$3),LEN(TRIM(J$2)))=TRIM(J$2))*IFERROR(Jenny!$E$4:$CE$100,0)),0)+IFERROR(SUMPRODUCT((ISNUMBER(SEARCH($B7,Cooper!$B$4:$B$100)))*(LEFT(TRIM(Cooper!$E$3:$CE$3),LEN(TRIM(J$2)))=TRIM(J$2))*IFERROR(Cooper!$E$4:$CE$100,0)),0)+IFERROR(SUMPRODUCT((ISNUMBER(SEARCH($B7,Summer!$B$4:$B$100)))*(LEFT(TRIM(Summer!$E$3:$CE$3),LEN(TRIM(J$2)))=TRIM(J$2))*IFERROR(Summer!$E$4:$CE$100,0)),0)+IFERROR(SUMPRODUCT((ISNUMBER(SEARCH($B7,Julie!$B$4:$B$100)))*(LEFT(TRIM(Julie!$E$3:$CE$3),LEN(TRIM(J$2)))=TRIM(J$2))*IFERROR(Julie!$E$4:$CE$100,0)),0)+IFERROR(SUMPRODUCT((ISNUMBER(SEARCH($B7,Jiao!$B$4:$B$100)))*(LEFT(TRIM(Jiao!$E$3:$CE$3),LEN(TRIM(J$2)))=TRIM(J$2))*IFERROR(Jiao!$E$4:$CE$100,0)),0)</f>
      </c>
      <c r="K7" s="41">
        <f>=IFERROR(SUMPRODUCT((ISNUMBER(SEARCH($B7,KeDa!$B$4:$B$100)))*(LEFT(TRIM(KeDa!$E$3:$CE$3),LEN(TRIM(K$2)))=TRIM(K$2))*IFERROR(KeDa!$E$4:$CE$100,0)),0)+IFERROR(SUMPRODUCT((ISNUMBER(SEARCH($B7,Tank!$B$4:$B$100)))*(LEFT(TRIM(Tank!$E$3:$CE$3),LEN(TRIM(K$2)))=TRIM(K$2))*IFERROR(Tank!$E$4:$CE$100,0)),0)+IFERROR(SUMPRODUCT((ISNUMBER(SEARCH($B7,Richard!$B$4:$B$100)))*(LEFT(TRIM(Richard!$E$3:$CE$3),LEN(TRIM(K$2)))=TRIM(K$2))*IFERROR(Richard!$E$4:$CE$100,0)),0)+IFERROR(SUMPRODUCT((ISNUMBER(SEARCH($B7,Jenny!$B$4:$B$100)))*(LEFT(TRIM(Jenny!$E$3:$CE$3),LEN(TRIM(K$2)))=TRIM(K$2))*IFERROR(Jenny!$E$4:$CE$100,0)),0)+IFERROR(SUMPRODUCT((ISNUMBER(SEARCH($B7,Cooper!$B$4:$B$100)))*(LEFT(TRIM(Cooper!$E$3:$CE$3),LEN(TRIM(K$2)))=TRIM(K$2))*IFERROR(Cooper!$E$4:$CE$100,0)),0)+IFERROR(SUMPRODUCT((ISNUMBER(SEARCH($B7,Summer!$B$4:$B$100)))*(LEFT(TRIM(Summer!$E$3:$CE$3),LEN(TRIM(K$2)))=TRIM(K$2))*IFERROR(Summer!$E$4:$CE$100,0)),0)+IFERROR(SUMPRODUCT((ISNUMBER(SEARCH($B7,Julie!$B$4:$B$100)))*(LEFT(TRIM(Julie!$E$3:$CE$3),LEN(TRIM(K$2)))=TRIM(K$2))*IFERROR(Julie!$E$4:$CE$100,0)),0)+IFERROR(SUMPRODUCT((ISNUMBER(SEARCH($B7,Jiao!$B$4:$B$100)))*(LEFT(TRIM(Jiao!$E$3:$CE$3),LEN(TRIM(K$2)))=TRIM(K$2))*IFERROR(Jiao!$E$4:$CE$100,0)),0)</f>
      </c>
    </row>
    <row r="8" spans="1:11">
      <c r="A8" s="39">
        <v>6</v>
      </c>
      <c r="B8" s="40" t="s">
        <v>116</v>
      </c>
      <c r="C8" s="40" t="s">
        <v>106</v>
      </c>
      <c r="D8" s="40" t="s">
        <v>96</v>
      </c>
      <c r="E8" s="41">
        <f>=IFERROR(SUMPRODUCT((ISNUMBER(SEARCH($B8,KeDa!$B$4:$B$100)))*(LEFT(TRIM(KeDa!$E$3:$CE$3),LEN(TRIM(E$2)))=TRIM(E$2))*IFERROR(KeDa!$E$4:$CE$100,0)),0)+IFERROR(SUMPRODUCT((ISNUMBER(SEARCH($B8,Tank!$B$4:$B$100)))*(LEFT(TRIM(Tank!$E$3:$CE$3),LEN(TRIM(E$2)))=TRIM(E$2))*IFERROR(Tank!$E$4:$CE$100,0)),0)+IFERROR(SUMPRODUCT((ISNUMBER(SEARCH($B8,Richard!$B$4:$B$100)))*(LEFT(TRIM(Richard!$E$3:$CE$3),LEN(TRIM(E$2)))=TRIM(E$2))*IFERROR(Richard!$E$4:$CE$100,0)),0)+IFERROR(SUMPRODUCT((ISNUMBER(SEARCH($B8,Jenny!$B$4:$B$100)))*(LEFT(TRIM(Jenny!$E$3:$CE$3),LEN(TRIM(E$2)))=TRIM(E$2))*IFERROR(Jenny!$E$4:$CE$100,0)),0)+IFERROR(SUMPRODUCT((ISNUMBER(SEARCH($B8,Cooper!$B$4:$B$100)))*(LEFT(TRIM(Cooper!$E$3:$CE$3),LEN(TRIM(E$2)))=TRIM(E$2))*IFERROR(Cooper!$E$4:$CE$100,0)),0)+IFERROR(SUMPRODUCT((ISNUMBER(SEARCH($B8,Summer!$B$4:$B$100)))*(LEFT(TRIM(Summer!$E$3:$CE$3),LEN(TRIM(E$2)))=TRIM(E$2))*IFERROR(Summer!$E$4:$CE$100,0)),0)+IFERROR(SUMPRODUCT((ISNUMBER(SEARCH($B8,Julie!$B$4:$B$100)))*(LEFT(TRIM(Julie!$E$3:$CE$3),LEN(TRIM(E$2)))=TRIM(E$2))*IFERROR(Julie!$E$4:$CE$100,0)),0)+IFERROR(SUMPRODUCT((ISNUMBER(SEARCH($B8,Jiao!$B$4:$B$100)))*(LEFT(TRIM(Jiao!$E$3:$CE$3),LEN(TRIM(E$2)))=TRIM(E$2))*IFERROR(Jiao!$E$4:$CE$100,0)),0)</f>
      </c>
      <c r="F8" s="41">
        <f>=IFERROR(SUMPRODUCT((ISNUMBER(SEARCH($B8,KeDa!$B$4:$B$100)))*(LEFT(TRIM(KeDa!$E$3:$CE$3),LEN(TRIM(F$2)))=TRIM(F$2))*IFERROR(KeDa!$E$4:$CE$100,0)),0)+IFERROR(SUMPRODUCT((ISNUMBER(SEARCH($B8,Tank!$B$4:$B$100)))*(LEFT(TRIM(Tank!$E$3:$CE$3),LEN(TRIM(F$2)))=TRIM(F$2))*IFERROR(Tank!$E$4:$CE$100,0)),0)+IFERROR(SUMPRODUCT((ISNUMBER(SEARCH($B8,Richard!$B$4:$B$100)))*(LEFT(TRIM(Richard!$E$3:$CE$3),LEN(TRIM(F$2)))=TRIM(F$2))*IFERROR(Richard!$E$4:$CE$100,0)),0)+IFERROR(SUMPRODUCT((ISNUMBER(SEARCH($B8,Jenny!$B$4:$B$100)))*(LEFT(TRIM(Jenny!$E$3:$CE$3),LEN(TRIM(F$2)))=TRIM(F$2))*IFERROR(Jenny!$E$4:$CE$100,0)),0)+IFERROR(SUMPRODUCT((ISNUMBER(SEARCH($B8,Cooper!$B$4:$B$100)))*(LEFT(TRIM(Cooper!$E$3:$CE$3),LEN(TRIM(F$2)))=TRIM(F$2))*IFERROR(Cooper!$E$4:$CE$100,0)),0)+IFERROR(SUMPRODUCT((ISNUMBER(SEARCH($B8,Summer!$B$4:$B$100)))*(LEFT(TRIM(Summer!$E$3:$CE$3),LEN(TRIM(F$2)))=TRIM(F$2))*IFERROR(Summer!$E$4:$CE$100,0)),0)+IFERROR(SUMPRODUCT((ISNUMBER(SEARCH($B8,Julie!$B$4:$B$100)))*(LEFT(TRIM(Julie!$E$3:$CE$3),LEN(TRIM(F$2)))=TRIM(F$2))*IFERROR(Julie!$E$4:$CE$100,0)),0)+IFERROR(SUMPRODUCT((ISNUMBER(SEARCH($B8,Jiao!$B$4:$B$100)))*(LEFT(TRIM(Jiao!$E$3:$CE$3),LEN(TRIM(F$2)))=TRIM(F$2))*IFERROR(Jiao!$E$4:$CE$100,0)),0)</f>
      </c>
      <c r="G8" s="41">
        <f>=IFERROR(SUMPRODUCT((ISNUMBER(SEARCH($B8,KeDa!$B$4:$B$100)))*(LEFT(TRIM(KeDa!$E$3:$CE$3),LEN(TRIM(G$2)))=TRIM(G$2))*IFERROR(KeDa!$E$4:$CE$100,0)),0)+IFERROR(SUMPRODUCT((ISNUMBER(SEARCH($B8,Tank!$B$4:$B$100)))*(LEFT(TRIM(Tank!$E$3:$CE$3),LEN(TRIM(G$2)))=TRIM(G$2))*IFERROR(Tank!$E$4:$CE$100,0)),0)+IFERROR(SUMPRODUCT((ISNUMBER(SEARCH($B8,Richard!$B$4:$B$100)))*(LEFT(TRIM(Richard!$E$3:$CE$3),LEN(TRIM(G$2)))=TRIM(G$2))*IFERROR(Richard!$E$4:$CE$100,0)),0)+IFERROR(SUMPRODUCT((ISNUMBER(SEARCH($B8,Jenny!$B$4:$B$100)))*(LEFT(TRIM(Jenny!$E$3:$CE$3),LEN(TRIM(G$2)))=TRIM(G$2))*IFERROR(Jenny!$E$4:$CE$100,0)),0)+IFERROR(SUMPRODUCT((ISNUMBER(SEARCH($B8,Cooper!$B$4:$B$100)))*(LEFT(TRIM(Cooper!$E$3:$CE$3),LEN(TRIM(G$2)))=TRIM(G$2))*IFERROR(Cooper!$E$4:$CE$100,0)),0)+IFERROR(SUMPRODUCT((ISNUMBER(SEARCH($B8,Summer!$B$4:$B$100)))*(LEFT(TRIM(Summer!$E$3:$CE$3),LEN(TRIM(G$2)))=TRIM(G$2))*IFERROR(Summer!$E$4:$CE$100,0)),0)+IFERROR(SUMPRODUCT((ISNUMBER(SEARCH($B8,Julie!$B$4:$B$100)))*(LEFT(TRIM(Julie!$E$3:$CE$3),LEN(TRIM(G$2)))=TRIM(G$2))*IFERROR(Julie!$E$4:$CE$100,0)),0)+IFERROR(SUMPRODUCT((ISNUMBER(SEARCH($B8,Jiao!$B$4:$B$100)))*(LEFT(TRIM(Jiao!$E$3:$CE$3),LEN(TRIM(G$2)))=TRIM(G$2))*IFERROR(Jiao!$E$4:$CE$100,0)),0)</f>
      </c>
      <c r="H8" s="41">
        <f>=IFERROR(SUMPRODUCT((ISNUMBER(SEARCH($B8,KeDa!$B$4:$B$100)))*(LEFT(TRIM(KeDa!$E$3:$CE$3),LEN(TRIM(H$2)))=TRIM(H$2))*IFERROR(KeDa!$E$4:$CE$100,0)),0)+IFERROR(SUMPRODUCT((ISNUMBER(SEARCH($B8,Tank!$B$4:$B$100)))*(LEFT(TRIM(Tank!$E$3:$CE$3),LEN(TRIM(H$2)))=TRIM(H$2))*IFERROR(Tank!$E$4:$CE$100,0)),0)+IFERROR(SUMPRODUCT((ISNUMBER(SEARCH($B8,Richard!$B$4:$B$100)))*(LEFT(TRIM(Richard!$E$3:$CE$3),LEN(TRIM(H$2)))=TRIM(H$2))*IFERROR(Richard!$E$4:$CE$100,0)),0)+IFERROR(SUMPRODUCT((ISNUMBER(SEARCH($B8,Jenny!$B$4:$B$100)))*(LEFT(TRIM(Jenny!$E$3:$CE$3),LEN(TRIM(H$2)))=TRIM(H$2))*IFERROR(Jenny!$E$4:$CE$100,0)),0)+IFERROR(SUMPRODUCT((ISNUMBER(SEARCH($B8,Cooper!$B$4:$B$100)))*(LEFT(TRIM(Cooper!$E$3:$CE$3),LEN(TRIM(H$2)))=TRIM(H$2))*IFERROR(Cooper!$E$4:$CE$100,0)),0)+IFERROR(SUMPRODUCT((ISNUMBER(SEARCH($B8,Summer!$B$4:$B$100)))*(LEFT(TRIM(Summer!$E$3:$CE$3),LEN(TRIM(H$2)))=TRIM(H$2))*IFERROR(Summer!$E$4:$CE$100,0)),0)+IFERROR(SUMPRODUCT((ISNUMBER(SEARCH($B8,Julie!$B$4:$B$100)))*(LEFT(TRIM(Julie!$E$3:$CE$3),LEN(TRIM(H$2)))=TRIM(H$2))*IFERROR(Julie!$E$4:$CE$100,0)),0)+IFERROR(SUMPRODUCT((ISNUMBER(SEARCH($B8,Jiao!$B$4:$B$100)))*(LEFT(TRIM(Jiao!$E$3:$CE$3),LEN(TRIM(H$2)))=TRIM(H$2))*IFERROR(Jiao!$E$4:$CE$100,0)),0)</f>
      </c>
      <c r="I8" s="41">
        <f>=IFERROR(SUMPRODUCT((ISNUMBER(SEARCH($B8,KeDa!$B$4:$B$100)))*(LEFT(TRIM(KeDa!$E$3:$CE$3),LEN(TRIM(I$2)))=TRIM(I$2))*IFERROR(KeDa!$E$4:$CE$100,0)),0)+IFERROR(SUMPRODUCT((ISNUMBER(SEARCH($B8,Tank!$B$4:$B$100)))*(LEFT(TRIM(Tank!$E$3:$CE$3),LEN(TRIM(I$2)))=TRIM(I$2))*IFERROR(Tank!$E$4:$CE$100,0)),0)+IFERROR(SUMPRODUCT((ISNUMBER(SEARCH($B8,Richard!$B$4:$B$100)))*(LEFT(TRIM(Richard!$E$3:$CE$3),LEN(TRIM(I$2)))=TRIM(I$2))*IFERROR(Richard!$E$4:$CE$100,0)),0)+IFERROR(SUMPRODUCT((ISNUMBER(SEARCH($B8,Jenny!$B$4:$B$100)))*(LEFT(TRIM(Jenny!$E$3:$CE$3),LEN(TRIM(I$2)))=TRIM(I$2))*IFERROR(Jenny!$E$4:$CE$100,0)),0)+IFERROR(SUMPRODUCT((ISNUMBER(SEARCH($B8,Cooper!$B$4:$B$100)))*(LEFT(TRIM(Cooper!$E$3:$CE$3),LEN(TRIM(I$2)))=TRIM(I$2))*IFERROR(Cooper!$E$4:$CE$100,0)),0)+IFERROR(SUMPRODUCT((ISNUMBER(SEARCH($B8,Summer!$B$4:$B$100)))*(LEFT(TRIM(Summer!$E$3:$CE$3),LEN(TRIM(I$2)))=TRIM(I$2))*IFERROR(Summer!$E$4:$CE$100,0)),0)+IFERROR(SUMPRODUCT((ISNUMBER(SEARCH($B8,Julie!$B$4:$B$100)))*(LEFT(TRIM(Julie!$E$3:$CE$3),LEN(TRIM(I$2)))=TRIM(I$2))*IFERROR(Julie!$E$4:$CE$100,0)),0)+IFERROR(SUMPRODUCT((ISNUMBER(SEARCH($B8,Jiao!$B$4:$B$100)))*(LEFT(TRIM(Jiao!$E$3:$CE$3),LEN(TRIM(I$2)))=TRIM(I$2))*IFERROR(Jiao!$E$4:$CE$100,0)),0)</f>
      </c>
      <c r="J8" s="41">
        <f>=IFERROR(SUMPRODUCT((ISNUMBER(SEARCH($B8,KeDa!$B$4:$B$100)))*(LEFT(TRIM(KeDa!$E$3:$CE$3),LEN(TRIM(J$2)))=TRIM(J$2))*IFERROR(KeDa!$E$4:$CE$100,0)),0)+IFERROR(SUMPRODUCT((ISNUMBER(SEARCH($B8,Tank!$B$4:$B$100)))*(LEFT(TRIM(Tank!$E$3:$CE$3),LEN(TRIM(J$2)))=TRIM(J$2))*IFERROR(Tank!$E$4:$CE$100,0)),0)+IFERROR(SUMPRODUCT((ISNUMBER(SEARCH($B8,Richard!$B$4:$B$100)))*(LEFT(TRIM(Richard!$E$3:$CE$3),LEN(TRIM(J$2)))=TRIM(J$2))*IFERROR(Richard!$E$4:$CE$100,0)),0)+IFERROR(SUMPRODUCT((ISNUMBER(SEARCH($B8,Jenny!$B$4:$B$100)))*(LEFT(TRIM(Jenny!$E$3:$CE$3),LEN(TRIM(J$2)))=TRIM(J$2))*IFERROR(Jenny!$E$4:$CE$100,0)),0)+IFERROR(SUMPRODUCT((ISNUMBER(SEARCH($B8,Cooper!$B$4:$B$100)))*(LEFT(TRIM(Cooper!$E$3:$CE$3),LEN(TRIM(J$2)))=TRIM(J$2))*IFERROR(Cooper!$E$4:$CE$100,0)),0)+IFERROR(SUMPRODUCT((ISNUMBER(SEARCH($B8,Summer!$B$4:$B$100)))*(LEFT(TRIM(Summer!$E$3:$CE$3),LEN(TRIM(J$2)))=TRIM(J$2))*IFERROR(Summer!$E$4:$CE$100,0)),0)+IFERROR(SUMPRODUCT((ISNUMBER(SEARCH($B8,Julie!$B$4:$B$100)))*(LEFT(TRIM(Julie!$E$3:$CE$3),LEN(TRIM(J$2)))=TRIM(J$2))*IFERROR(Julie!$E$4:$CE$100,0)),0)+IFERROR(SUMPRODUCT((ISNUMBER(SEARCH($B8,Jiao!$B$4:$B$100)))*(LEFT(TRIM(Jiao!$E$3:$CE$3),LEN(TRIM(J$2)))=TRIM(J$2))*IFERROR(Jiao!$E$4:$CE$100,0)),0)</f>
      </c>
      <c r="K8" s="41">
        <f>=IFERROR(SUMPRODUCT((ISNUMBER(SEARCH($B8,KeDa!$B$4:$B$100)))*(LEFT(TRIM(KeDa!$E$3:$CE$3),LEN(TRIM(K$2)))=TRIM(K$2))*IFERROR(KeDa!$E$4:$CE$100,0)),0)+IFERROR(SUMPRODUCT((ISNUMBER(SEARCH($B8,Tank!$B$4:$B$100)))*(LEFT(TRIM(Tank!$E$3:$CE$3),LEN(TRIM(K$2)))=TRIM(K$2))*IFERROR(Tank!$E$4:$CE$100,0)),0)+IFERROR(SUMPRODUCT((ISNUMBER(SEARCH($B8,Richard!$B$4:$B$100)))*(LEFT(TRIM(Richard!$E$3:$CE$3),LEN(TRIM(K$2)))=TRIM(K$2))*IFERROR(Richard!$E$4:$CE$100,0)),0)+IFERROR(SUMPRODUCT((ISNUMBER(SEARCH($B8,Jenny!$B$4:$B$100)))*(LEFT(TRIM(Jenny!$E$3:$CE$3),LEN(TRIM(K$2)))=TRIM(K$2))*IFERROR(Jenny!$E$4:$CE$100,0)),0)+IFERROR(SUMPRODUCT((ISNUMBER(SEARCH($B8,Cooper!$B$4:$B$100)))*(LEFT(TRIM(Cooper!$E$3:$CE$3),LEN(TRIM(K$2)))=TRIM(K$2))*IFERROR(Cooper!$E$4:$CE$100,0)),0)+IFERROR(SUMPRODUCT((ISNUMBER(SEARCH($B8,Summer!$B$4:$B$100)))*(LEFT(TRIM(Summer!$E$3:$CE$3),LEN(TRIM(K$2)))=TRIM(K$2))*IFERROR(Summer!$E$4:$CE$100,0)),0)+IFERROR(SUMPRODUCT((ISNUMBER(SEARCH($B8,Julie!$B$4:$B$100)))*(LEFT(TRIM(Julie!$E$3:$CE$3),LEN(TRIM(K$2)))=TRIM(K$2))*IFERROR(Julie!$E$4:$CE$100,0)),0)+IFERROR(SUMPRODUCT((ISNUMBER(SEARCH($B8,Jiao!$B$4:$B$100)))*(LEFT(TRIM(Jiao!$E$3:$CE$3),LEN(TRIM(K$2)))=TRIM(K$2))*IFERROR(Jiao!$E$4:$CE$100,0)),0)</f>
      </c>
    </row>
    <row r="9" spans="1:11">
      <c r="A9" s="39">
        <v>7</v>
      </c>
      <c r="B9" s="40" t="s">
        <v>117</v>
      </c>
      <c r="C9" s="40" t="s">
        <v>106</v>
      </c>
      <c r="D9" s="40" t="s">
        <v>96</v>
      </c>
      <c r="E9" s="41">
        <f>=IFERROR(SUMPRODUCT((ISNUMBER(SEARCH($B9,KeDa!$B$4:$B$100)))*(LEFT(TRIM(KeDa!$E$3:$CE$3),LEN(TRIM(E$2)))=TRIM(E$2))*IFERROR(KeDa!$E$4:$CE$100,0)),0)+IFERROR(SUMPRODUCT((ISNUMBER(SEARCH($B9,Tank!$B$4:$B$100)))*(LEFT(TRIM(Tank!$E$3:$CE$3),LEN(TRIM(E$2)))=TRIM(E$2))*IFERROR(Tank!$E$4:$CE$100,0)),0)+IFERROR(SUMPRODUCT((ISNUMBER(SEARCH($B9,Richard!$B$4:$B$100)))*(LEFT(TRIM(Richard!$E$3:$CE$3),LEN(TRIM(E$2)))=TRIM(E$2))*IFERROR(Richard!$E$4:$CE$100,0)),0)+IFERROR(SUMPRODUCT((ISNUMBER(SEARCH($B9,Jenny!$B$4:$B$100)))*(LEFT(TRIM(Jenny!$E$3:$CE$3),LEN(TRIM(E$2)))=TRIM(E$2))*IFERROR(Jenny!$E$4:$CE$100,0)),0)+IFERROR(SUMPRODUCT((ISNUMBER(SEARCH($B9,Cooper!$B$4:$B$100)))*(LEFT(TRIM(Cooper!$E$3:$CE$3),LEN(TRIM(E$2)))=TRIM(E$2))*IFERROR(Cooper!$E$4:$CE$100,0)),0)+IFERROR(SUMPRODUCT((ISNUMBER(SEARCH($B9,Summer!$B$4:$B$100)))*(LEFT(TRIM(Summer!$E$3:$CE$3),LEN(TRIM(E$2)))=TRIM(E$2))*IFERROR(Summer!$E$4:$CE$100,0)),0)+IFERROR(SUMPRODUCT((ISNUMBER(SEARCH($B9,Julie!$B$4:$B$100)))*(LEFT(TRIM(Julie!$E$3:$CE$3),LEN(TRIM(E$2)))=TRIM(E$2))*IFERROR(Julie!$E$4:$CE$100,0)),0)+IFERROR(SUMPRODUCT((ISNUMBER(SEARCH($B9,Jiao!$B$4:$B$100)))*(LEFT(TRIM(Jiao!$E$3:$CE$3),LEN(TRIM(E$2)))=TRIM(E$2))*IFERROR(Jiao!$E$4:$CE$100,0)),0)</f>
      </c>
      <c r="F9" s="41">
        <f>=IFERROR(SUMPRODUCT((ISNUMBER(SEARCH($B9,KeDa!$B$4:$B$100)))*(LEFT(TRIM(KeDa!$E$3:$CE$3),LEN(TRIM(F$2)))=TRIM(F$2))*IFERROR(KeDa!$E$4:$CE$100,0)),0)+IFERROR(SUMPRODUCT((ISNUMBER(SEARCH($B9,Tank!$B$4:$B$100)))*(LEFT(TRIM(Tank!$E$3:$CE$3),LEN(TRIM(F$2)))=TRIM(F$2))*IFERROR(Tank!$E$4:$CE$100,0)),0)+IFERROR(SUMPRODUCT((ISNUMBER(SEARCH($B9,Richard!$B$4:$B$100)))*(LEFT(TRIM(Richard!$E$3:$CE$3),LEN(TRIM(F$2)))=TRIM(F$2))*IFERROR(Richard!$E$4:$CE$100,0)),0)+IFERROR(SUMPRODUCT((ISNUMBER(SEARCH($B9,Jenny!$B$4:$B$100)))*(LEFT(TRIM(Jenny!$E$3:$CE$3),LEN(TRIM(F$2)))=TRIM(F$2))*IFERROR(Jenny!$E$4:$CE$100,0)),0)+IFERROR(SUMPRODUCT((ISNUMBER(SEARCH($B9,Cooper!$B$4:$B$100)))*(LEFT(TRIM(Cooper!$E$3:$CE$3),LEN(TRIM(F$2)))=TRIM(F$2))*IFERROR(Cooper!$E$4:$CE$100,0)),0)+IFERROR(SUMPRODUCT((ISNUMBER(SEARCH($B9,Summer!$B$4:$B$100)))*(LEFT(TRIM(Summer!$E$3:$CE$3),LEN(TRIM(F$2)))=TRIM(F$2))*IFERROR(Summer!$E$4:$CE$100,0)),0)+IFERROR(SUMPRODUCT((ISNUMBER(SEARCH($B9,Julie!$B$4:$B$100)))*(LEFT(TRIM(Julie!$E$3:$CE$3),LEN(TRIM(F$2)))=TRIM(F$2))*IFERROR(Julie!$E$4:$CE$100,0)),0)+IFERROR(SUMPRODUCT((ISNUMBER(SEARCH($B9,Jiao!$B$4:$B$100)))*(LEFT(TRIM(Jiao!$E$3:$CE$3),LEN(TRIM(F$2)))=TRIM(F$2))*IFERROR(Jiao!$E$4:$CE$100,0)),0)</f>
      </c>
      <c r="G9" s="41">
        <f>=IFERROR(SUMPRODUCT((ISNUMBER(SEARCH($B9,KeDa!$B$4:$B$100)))*(LEFT(TRIM(KeDa!$E$3:$CE$3),LEN(TRIM(G$2)))=TRIM(G$2))*IFERROR(KeDa!$E$4:$CE$100,0)),0)+IFERROR(SUMPRODUCT((ISNUMBER(SEARCH($B9,Tank!$B$4:$B$100)))*(LEFT(TRIM(Tank!$E$3:$CE$3),LEN(TRIM(G$2)))=TRIM(G$2))*IFERROR(Tank!$E$4:$CE$100,0)),0)+IFERROR(SUMPRODUCT((ISNUMBER(SEARCH($B9,Richard!$B$4:$B$100)))*(LEFT(TRIM(Richard!$E$3:$CE$3),LEN(TRIM(G$2)))=TRIM(G$2))*IFERROR(Richard!$E$4:$CE$100,0)),0)+IFERROR(SUMPRODUCT((ISNUMBER(SEARCH($B9,Jenny!$B$4:$B$100)))*(LEFT(TRIM(Jenny!$E$3:$CE$3),LEN(TRIM(G$2)))=TRIM(G$2))*IFERROR(Jenny!$E$4:$CE$100,0)),0)+IFERROR(SUMPRODUCT((ISNUMBER(SEARCH($B9,Cooper!$B$4:$B$100)))*(LEFT(TRIM(Cooper!$E$3:$CE$3),LEN(TRIM(G$2)))=TRIM(G$2))*IFERROR(Cooper!$E$4:$CE$100,0)),0)+IFERROR(SUMPRODUCT((ISNUMBER(SEARCH($B9,Summer!$B$4:$B$100)))*(LEFT(TRIM(Summer!$E$3:$CE$3),LEN(TRIM(G$2)))=TRIM(G$2))*IFERROR(Summer!$E$4:$CE$100,0)),0)+IFERROR(SUMPRODUCT((ISNUMBER(SEARCH($B9,Julie!$B$4:$B$100)))*(LEFT(TRIM(Julie!$E$3:$CE$3),LEN(TRIM(G$2)))=TRIM(G$2))*IFERROR(Julie!$E$4:$CE$100,0)),0)+IFERROR(SUMPRODUCT((ISNUMBER(SEARCH($B9,Jiao!$B$4:$B$100)))*(LEFT(TRIM(Jiao!$E$3:$CE$3),LEN(TRIM(G$2)))=TRIM(G$2))*IFERROR(Jiao!$E$4:$CE$100,0)),0)</f>
      </c>
      <c r="H9" s="41">
        <f>=IFERROR(SUMPRODUCT((ISNUMBER(SEARCH($B9,KeDa!$B$4:$B$100)))*(LEFT(TRIM(KeDa!$E$3:$CE$3),LEN(TRIM(H$2)))=TRIM(H$2))*IFERROR(KeDa!$E$4:$CE$100,0)),0)+IFERROR(SUMPRODUCT((ISNUMBER(SEARCH($B9,Tank!$B$4:$B$100)))*(LEFT(TRIM(Tank!$E$3:$CE$3),LEN(TRIM(H$2)))=TRIM(H$2))*IFERROR(Tank!$E$4:$CE$100,0)),0)+IFERROR(SUMPRODUCT((ISNUMBER(SEARCH($B9,Richard!$B$4:$B$100)))*(LEFT(TRIM(Richard!$E$3:$CE$3),LEN(TRIM(H$2)))=TRIM(H$2))*IFERROR(Richard!$E$4:$CE$100,0)),0)+IFERROR(SUMPRODUCT((ISNUMBER(SEARCH($B9,Jenny!$B$4:$B$100)))*(LEFT(TRIM(Jenny!$E$3:$CE$3),LEN(TRIM(H$2)))=TRIM(H$2))*IFERROR(Jenny!$E$4:$CE$100,0)),0)+IFERROR(SUMPRODUCT((ISNUMBER(SEARCH($B9,Cooper!$B$4:$B$100)))*(LEFT(TRIM(Cooper!$E$3:$CE$3),LEN(TRIM(H$2)))=TRIM(H$2))*IFERROR(Cooper!$E$4:$CE$100,0)),0)+IFERROR(SUMPRODUCT((ISNUMBER(SEARCH($B9,Summer!$B$4:$B$100)))*(LEFT(TRIM(Summer!$E$3:$CE$3),LEN(TRIM(H$2)))=TRIM(H$2))*IFERROR(Summer!$E$4:$CE$100,0)),0)+IFERROR(SUMPRODUCT((ISNUMBER(SEARCH($B9,Julie!$B$4:$B$100)))*(LEFT(TRIM(Julie!$E$3:$CE$3),LEN(TRIM(H$2)))=TRIM(H$2))*IFERROR(Julie!$E$4:$CE$100,0)),0)+IFERROR(SUMPRODUCT((ISNUMBER(SEARCH($B9,Jiao!$B$4:$B$100)))*(LEFT(TRIM(Jiao!$E$3:$CE$3),LEN(TRIM(H$2)))=TRIM(H$2))*IFERROR(Jiao!$E$4:$CE$100,0)),0)</f>
      </c>
      <c r="I9" s="41">
        <f>=IFERROR(SUMPRODUCT((ISNUMBER(SEARCH($B9,KeDa!$B$4:$B$100)))*(LEFT(TRIM(KeDa!$E$3:$CE$3),LEN(TRIM(I$2)))=TRIM(I$2))*IFERROR(KeDa!$E$4:$CE$100,0)),0)+IFERROR(SUMPRODUCT((ISNUMBER(SEARCH($B9,Tank!$B$4:$B$100)))*(LEFT(TRIM(Tank!$E$3:$CE$3),LEN(TRIM(I$2)))=TRIM(I$2))*IFERROR(Tank!$E$4:$CE$100,0)),0)+IFERROR(SUMPRODUCT((ISNUMBER(SEARCH($B9,Richard!$B$4:$B$100)))*(LEFT(TRIM(Richard!$E$3:$CE$3),LEN(TRIM(I$2)))=TRIM(I$2))*IFERROR(Richard!$E$4:$CE$100,0)),0)+IFERROR(SUMPRODUCT((ISNUMBER(SEARCH($B9,Jenny!$B$4:$B$100)))*(LEFT(TRIM(Jenny!$E$3:$CE$3),LEN(TRIM(I$2)))=TRIM(I$2))*IFERROR(Jenny!$E$4:$CE$100,0)),0)+IFERROR(SUMPRODUCT((ISNUMBER(SEARCH($B9,Cooper!$B$4:$B$100)))*(LEFT(TRIM(Cooper!$E$3:$CE$3),LEN(TRIM(I$2)))=TRIM(I$2))*IFERROR(Cooper!$E$4:$CE$100,0)),0)+IFERROR(SUMPRODUCT((ISNUMBER(SEARCH($B9,Summer!$B$4:$B$100)))*(LEFT(TRIM(Summer!$E$3:$CE$3),LEN(TRIM(I$2)))=TRIM(I$2))*IFERROR(Summer!$E$4:$CE$100,0)),0)+IFERROR(SUMPRODUCT((ISNUMBER(SEARCH($B9,Julie!$B$4:$B$100)))*(LEFT(TRIM(Julie!$E$3:$CE$3),LEN(TRIM(I$2)))=TRIM(I$2))*IFERROR(Julie!$E$4:$CE$100,0)),0)+IFERROR(SUMPRODUCT((ISNUMBER(SEARCH($B9,Jiao!$B$4:$B$100)))*(LEFT(TRIM(Jiao!$E$3:$CE$3),LEN(TRIM(I$2)))=TRIM(I$2))*IFERROR(Jiao!$E$4:$CE$100,0)),0)</f>
      </c>
      <c r="J9" s="41">
        <f>=IFERROR(SUMPRODUCT((ISNUMBER(SEARCH($B9,KeDa!$B$4:$B$100)))*(LEFT(TRIM(KeDa!$E$3:$CE$3),LEN(TRIM(J$2)))=TRIM(J$2))*IFERROR(KeDa!$E$4:$CE$100,0)),0)+IFERROR(SUMPRODUCT((ISNUMBER(SEARCH($B9,Tank!$B$4:$B$100)))*(LEFT(TRIM(Tank!$E$3:$CE$3),LEN(TRIM(J$2)))=TRIM(J$2))*IFERROR(Tank!$E$4:$CE$100,0)),0)+IFERROR(SUMPRODUCT((ISNUMBER(SEARCH($B9,Richard!$B$4:$B$100)))*(LEFT(TRIM(Richard!$E$3:$CE$3),LEN(TRIM(J$2)))=TRIM(J$2))*IFERROR(Richard!$E$4:$CE$100,0)),0)+IFERROR(SUMPRODUCT((ISNUMBER(SEARCH($B9,Jenny!$B$4:$B$100)))*(LEFT(TRIM(Jenny!$E$3:$CE$3),LEN(TRIM(J$2)))=TRIM(J$2))*IFERROR(Jenny!$E$4:$CE$100,0)),0)+IFERROR(SUMPRODUCT((ISNUMBER(SEARCH($B9,Cooper!$B$4:$B$100)))*(LEFT(TRIM(Cooper!$E$3:$CE$3),LEN(TRIM(J$2)))=TRIM(J$2))*IFERROR(Cooper!$E$4:$CE$100,0)),0)+IFERROR(SUMPRODUCT((ISNUMBER(SEARCH($B9,Summer!$B$4:$B$100)))*(LEFT(TRIM(Summer!$E$3:$CE$3),LEN(TRIM(J$2)))=TRIM(J$2))*IFERROR(Summer!$E$4:$CE$100,0)),0)+IFERROR(SUMPRODUCT((ISNUMBER(SEARCH($B9,Julie!$B$4:$B$100)))*(LEFT(TRIM(Julie!$E$3:$CE$3),LEN(TRIM(J$2)))=TRIM(J$2))*IFERROR(Julie!$E$4:$CE$100,0)),0)+IFERROR(SUMPRODUCT((ISNUMBER(SEARCH($B9,Jiao!$B$4:$B$100)))*(LEFT(TRIM(Jiao!$E$3:$CE$3),LEN(TRIM(J$2)))=TRIM(J$2))*IFERROR(Jiao!$E$4:$CE$100,0)),0)</f>
      </c>
      <c r="K9" s="41">
        <f>=IFERROR(SUMPRODUCT((ISNUMBER(SEARCH($B9,KeDa!$B$4:$B$100)))*(LEFT(TRIM(KeDa!$E$3:$CE$3),LEN(TRIM(K$2)))=TRIM(K$2))*IFERROR(KeDa!$E$4:$CE$100,0)),0)+IFERROR(SUMPRODUCT((ISNUMBER(SEARCH($B9,Tank!$B$4:$B$100)))*(LEFT(TRIM(Tank!$E$3:$CE$3),LEN(TRIM(K$2)))=TRIM(K$2))*IFERROR(Tank!$E$4:$CE$100,0)),0)+IFERROR(SUMPRODUCT((ISNUMBER(SEARCH($B9,Richard!$B$4:$B$100)))*(LEFT(TRIM(Richard!$E$3:$CE$3),LEN(TRIM(K$2)))=TRIM(K$2))*IFERROR(Richard!$E$4:$CE$100,0)),0)+IFERROR(SUMPRODUCT((ISNUMBER(SEARCH($B9,Jenny!$B$4:$B$100)))*(LEFT(TRIM(Jenny!$E$3:$CE$3),LEN(TRIM(K$2)))=TRIM(K$2))*IFERROR(Jenny!$E$4:$CE$100,0)),0)+IFERROR(SUMPRODUCT((ISNUMBER(SEARCH($B9,Cooper!$B$4:$B$100)))*(LEFT(TRIM(Cooper!$E$3:$CE$3),LEN(TRIM(K$2)))=TRIM(K$2))*IFERROR(Cooper!$E$4:$CE$100,0)),0)+IFERROR(SUMPRODUCT((ISNUMBER(SEARCH($B9,Summer!$B$4:$B$100)))*(LEFT(TRIM(Summer!$E$3:$CE$3),LEN(TRIM(K$2)))=TRIM(K$2))*IFERROR(Summer!$E$4:$CE$100,0)),0)+IFERROR(SUMPRODUCT((ISNUMBER(SEARCH($B9,Julie!$B$4:$B$100)))*(LEFT(TRIM(Julie!$E$3:$CE$3),LEN(TRIM(K$2)))=TRIM(K$2))*IFERROR(Julie!$E$4:$CE$100,0)),0)+IFERROR(SUMPRODUCT((ISNUMBER(SEARCH($B9,Jiao!$B$4:$B$100)))*(LEFT(TRIM(Jiao!$E$3:$CE$3),LEN(TRIM(K$2)))=TRIM(K$2))*IFERROR(Jiao!$E$4:$CE$100,0)),0)</f>
      </c>
    </row>
    <row r="10" spans="1:11">
      <c r="A10" s="42">
        <v>8</v>
      </c>
      <c r="B10" s="43" t="s">
        <v>185</v>
      </c>
      <c r="C10" s="43" t="s">
        <v>1</v>
      </c>
      <c r="D10" s="40" t="s">
        <v>96</v>
      </c>
      <c r="E10" s="41" t="s">
        <v>1</v>
      </c>
      <c r="F10" s="38" t="s">
        <v>1</v>
      </c>
      <c r="G10" s="38" t="s">
        <v>1</v>
      </c>
      <c r="H10" s="38" t="s">
        <v>1</v>
      </c>
      <c r="I10" s="44" t="s"/>
      <c r="J10" s="44" t="s"/>
      <c r="K10" s="44" t="s"/>
    </row>
    <row r="11" spans="1:11">
      <c r="A11" s="42">
        <v>9</v>
      </c>
      <c r="B11" s="43" t="s">
        <v>186</v>
      </c>
      <c r="C11" s="43" t="s">
        <v>1</v>
      </c>
      <c r="D11" s="40" t="s">
        <v>96</v>
      </c>
      <c r="E11" s="41" t="s">
        <v>1</v>
      </c>
      <c r="F11" s="38" t="s">
        <v>1</v>
      </c>
      <c r="G11" s="38" t="s">
        <v>1</v>
      </c>
      <c r="H11" s="38" t="s">
        <v>1</v>
      </c>
      <c r="I11" s="44" t="s"/>
      <c r="J11" s="44" t="s"/>
      <c r="K11" s="44" t="s"/>
    </row>
    <row r="12" spans="1:11">
      <c r="A12" s="42">
        <v>10</v>
      </c>
      <c r="B12" s="43" t="s">
        <v>187</v>
      </c>
      <c r="C12" s="43" t="s">
        <v>1</v>
      </c>
      <c r="D12" s="40" t="s">
        <v>96</v>
      </c>
      <c r="E12" s="41" t="s">
        <v>1</v>
      </c>
      <c r="F12" s="38" t="s">
        <v>1</v>
      </c>
      <c r="G12" s="38" t="s">
        <v>1</v>
      </c>
      <c r="H12" s="38" t="s">
        <v>1</v>
      </c>
      <c r="I12" s="44" t="s"/>
      <c r="J12" s="44" t="s"/>
      <c r="K12" s="44" t="s"/>
    </row>
    <row r="13" spans="1:11">
      <c r="A13" s="42">
        <v>11</v>
      </c>
      <c r="B13" s="45" t="s">
        <v>188</v>
      </c>
      <c r="C13" s="45" t="s">
        <v>1</v>
      </c>
      <c r="D13" s="40" t="s">
        <v>96</v>
      </c>
      <c r="E13" s="38" t="s">
        <v>1</v>
      </c>
      <c r="F13" s="38" t="s">
        <v>1</v>
      </c>
      <c r="G13" s="38" t="s">
        <v>1</v>
      </c>
      <c r="H13" s="38" t="s">
        <v>1</v>
      </c>
      <c r="I13" s="44" t="s"/>
      <c r="J13" s="44" t="s"/>
      <c r="K13" s="44" t="s"/>
    </row>
  </sheetData>
  <mergeCells count="3">
    <mergeCell ref="A1:B1"/>
    <mergeCell ref="E1:H1"/>
    <mergeCell ref="I1:K1"/>
  </mergeCells>
</worksheet>
</file>

<file path=xl/worksheets/sheet7.xml><?xml version="1.0" encoding="utf-8"?>
<worksheet xmlns="http://schemas.openxmlformats.org/spreadsheetml/2006/main">
  <sheetPr codeName="KeDa">
    <tabColor rgb="FFFFFFFF"/>
  </sheetPr>
  <dimension ref="CF30"/>
  <sheetViews>
    <sheetView showGridLines="true" workbookViewId="0">
      <pane xSplit="4" ySplit="3" topLeftCell="E4" state="frozen"/>
    </sheetView>
  </sheetViews>
  <cols>
    <col min="1" max="1" width="9.71094" customWidth="true"/>
    <col min="2" max="2" width="18.7109" customWidth="true"/>
    <col min="3" max="3" width="17.7109" customWidth="true"/>
    <col min="4" max="4" width="12.7109" customWidth="true"/>
    <col min="5" max="5" width="25.7109" customWidth="true"/>
    <col min="6" max="6" width="20.7109" customWidth="true"/>
    <col min="7" max="7" width="20.7109" customWidth="true"/>
    <col min="8" max="8" width="21.7109" customWidth="true"/>
    <col min="9" max="9" width="24.7109" customWidth="true"/>
    <col min="10" max="10" width="14.7109" customWidth="true"/>
    <col min="11" max="11" width="15.7109" customWidth="true"/>
    <col min="12" max="12" width="10.7109" customWidth="true"/>
    <col min="13" max="13" width="26.7109" customWidth="true"/>
    <col min="14" max="14" width="22.7109" customWidth="true"/>
    <col min="15" max="15" width="21.7109" customWidth="true"/>
    <col min="16" max="16" width="22.7109" customWidth="true"/>
    <col min="17" max="17" width="25.7109" customWidth="true"/>
    <col min="18" max="18" width="15.7109" customWidth="true"/>
    <col min="19" max="19" width="16.7109" customWidth="true"/>
    <col min="20" max="20" width="10.7109" customWidth="true"/>
    <col min="21" max="21" width="27.7109" customWidth="true"/>
    <col min="22" max="22" width="22.7109" customWidth="true"/>
    <col min="23" max="23" width="22.7109" customWidth="true"/>
    <col min="24" max="24" width="23.7109" customWidth="true"/>
    <col min="25" max="25" width="26.7109" customWidth="true"/>
    <col min="26" max="26" width="16.7109" customWidth="true"/>
    <col min="27" max="27" width="17.7109" customWidth="true"/>
    <col min="28" max="28" width="10.7109" customWidth="true"/>
    <col min="29" max="29" width="27.7109" customWidth="true"/>
    <col min="30" max="30" width="22.7109" customWidth="true"/>
    <col min="31" max="31" width="22.7109" customWidth="true"/>
    <col min="32" max="32" width="23.7109" customWidth="true"/>
    <col min="33" max="33" width="26.7109" customWidth="true"/>
    <col min="34" max="34" width="16.7109" customWidth="true"/>
    <col min="35" max="35" width="17.7109" customWidth="true"/>
    <col min="36" max="36" width="10.7109" customWidth="true"/>
    <col min="37" max="37" width="27.7109" customWidth="true"/>
    <col min="38" max="38" width="22.7109" customWidth="true"/>
    <col min="39" max="39" width="22.7109" customWidth="true"/>
    <col min="40" max="40" width="23.7109" customWidth="true"/>
    <col min="41" max="41" width="26.7109" customWidth="true"/>
    <col min="42" max="42" width="16.7109" customWidth="true"/>
    <col min="43" max="43" width="17.7109" customWidth="true"/>
    <col min="44" max="44" width="10.7109" customWidth="true"/>
    <col min="45" max="45" width="27.7109" customWidth="true"/>
    <col min="46" max="46" width="22.7109" customWidth="true"/>
    <col min="47" max="47" width="22.7109" customWidth="true"/>
    <col min="48" max="48" width="23.7109" customWidth="true"/>
    <col min="49" max="49" width="26.7109" customWidth="true"/>
    <col min="50" max="50" width="16.7109" customWidth="true"/>
    <col min="51" max="51" width="17.7109" customWidth="true"/>
    <col min="52" max="52" width="10.7109" customWidth="true"/>
    <col min="53" max="53" width="27.7109" customWidth="true"/>
    <col min="54" max="54" width="22.7109" customWidth="true"/>
    <col min="55" max="55" width="22.7109" customWidth="true"/>
    <col min="56" max="56" width="23.7109" customWidth="true"/>
    <col min="57" max="57" width="26.7109" customWidth="true"/>
    <col min="58" max="58" width="16.7109" customWidth="true"/>
    <col min="59" max="59" width="17.7109" customWidth="true"/>
    <col min="60" max="60" width="10.7109" customWidth="true"/>
    <col min="61" max="61" width="27.7109" customWidth="true"/>
    <col min="62" max="62" width="22.7109" customWidth="true"/>
    <col min="63" max="63" width="22.7109" customWidth="true"/>
    <col min="64" max="64" width="23.7109" customWidth="true"/>
    <col min="65" max="65" width="26.7109" customWidth="true"/>
    <col min="66" max="66" width="16.7109" customWidth="true"/>
    <col min="67" max="67" width="17.7109" customWidth="true"/>
    <col min="68" max="68" width="10.7109" customWidth="true"/>
    <col min="69" max="69" width="27.7109" customWidth="true"/>
    <col min="70" max="70" width="22.7109" customWidth="true"/>
    <col min="71" max="71" width="22.7109" customWidth="true"/>
    <col min="72" max="72" width="23.7109" customWidth="true"/>
    <col min="73" max="73" width="26.7109" customWidth="true"/>
    <col min="74" max="74" width="16.7109" customWidth="true"/>
    <col min="75" max="75" width="17.7109" customWidth="true"/>
    <col min="76" max="76" width="10.7109" customWidth="true"/>
    <col min="77" max="77" width="27.7109" customWidth="true"/>
    <col min="78" max="78" width="22.7109" customWidth="true"/>
    <col min="79" max="79" width="22.7109" customWidth="true"/>
    <col min="80" max="80" width="23.7109" customWidth="true"/>
    <col min="81" max="81" width="26.7109" customWidth="true"/>
    <col min="82" max="82" width="16.7109" customWidth="true"/>
    <col min="83" max="83" width="17.7109" customWidth="true"/>
    <col min="84" max="84" width="10.7109" customWidth="true"/>
  </cols>
  <sheetData>
    <row r="1" spans="1:84">
      <c r="A1" s="3" t="s">
        <v>1</v>
      </c>
      <c r="B1" s="4" t="s">
        <v>1</v>
      </c>
      <c r="C1" s="4" t="s">
        <v>1</v>
      </c>
      <c r="D1" s="4" t="s">
        <v>1</v>
      </c>
      <c r="E1" s="5" t="s">
        <v>2</v>
      </c>
      <c r="F1" s="6" t="s"/>
      <c r="G1" s="6" t="s"/>
      <c r="H1" s="6" t="s"/>
      <c r="I1" s="6" t="s"/>
      <c r="J1" s="6" t="s"/>
      <c r="K1" s="6" t="s"/>
      <c r="L1" s="7" t="s">
        <v>1</v>
      </c>
      <c r="M1" s="5" t="s">
        <v>3</v>
      </c>
      <c r="N1" s="6" t="s"/>
      <c r="O1" s="6" t="s"/>
      <c r="P1" s="6" t="s"/>
      <c r="Q1" s="6" t="s"/>
      <c r="R1" s="6" t="s"/>
      <c r="S1" s="6" t="s"/>
      <c r="T1" s="7" t="s">
        <v>1</v>
      </c>
      <c r="U1" s="5" t="s">
        <v>4</v>
      </c>
      <c r="V1" s="6" t="s"/>
      <c r="W1" s="6" t="s"/>
      <c r="X1" s="6" t="s"/>
      <c r="Y1" s="6" t="s"/>
      <c r="Z1" s="6" t="s"/>
      <c r="AA1" s="6" t="s"/>
      <c r="AB1" s="7" t="s">
        <v>1</v>
      </c>
      <c r="AC1" s="5" t="s">
        <v>5</v>
      </c>
      <c r="AD1" s="6" t="s"/>
      <c r="AE1" s="6" t="s"/>
      <c r="AF1" s="6" t="s"/>
      <c r="AG1" s="6" t="s"/>
      <c r="AH1" s="6" t="s"/>
      <c r="AI1" s="6" t="s"/>
      <c r="AJ1" s="7" t="s">
        <v>1</v>
      </c>
      <c r="AK1" s="5" t="s">
        <v>6</v>
      </c>
      <c r="AL1" s="6" t="s"/>
      <c r="AM1" s="6" t="s"/>
      <c r="AN1" s="6" t="s"/>
      <c r="AO1" s="6" t="s"/>
      <c r="AP1" s="6" t="s"/>
      <c r="AQ1" s="6" t="s"/>
      <c r="AR1" s="7" t="s">
        <v>1</v>
      </c>
      <c r="AS1" s="5" t="s">
        <v>7</v>
      </c>
      <c r="AT1" s="6" t="s"/>
      <c r="AU1" s="6" t="s"/>
      <c r="AV1" s="6" t="s"/>
      <c r="AW1" s="6" t="s"/>
      <c r="AX1" s="6" t="s"/>
      <c r="AY1" s="6" t="s"/>
      <c r="AZ1" s="7" t="s">
        <v>1</v>
      </c>
      <c r="BA1" s="5" t="s">
        <v>8</v>
      </c>
      <c r="BB1" s="6" t="s"/>
      <c r="BC1" s="6" t="s"/>
      <c r="BD1" s="6" t="s"/>
      <c r="BE1" s="6" t="s"/>
      <c r="BF1" s="6" t="s"/>
      <c r="BG1" s="6" t="s"/>
      <c r="BH1" s="7" t="s">
        <v>1</v>
      </c>
      <c r="BI1" s="5" t="s">
        <v>9</v>
      </c>
      <c r="BJ1" s="6" t="s"/>
      <c r="BK1" s="6" t="s"/>
      <c r="BL1" s="6" t="s"/>
      <c r="BM1" s="6" t="s"/>
      <c r="BN1" s="6" t="s"/>
      <c r="BO1" s="6" t="s"/>
      <c r="BP1" s="7" t="s">
        <v>1</v>
      </c>
      <c r="BQ1" s="5" t="s">
        <v>10</v>
      </c>
      <c r="BR1" s="6" t="s"/>
      <c r="BS1" s="6" t="s"/>
      <c r="BT1" s="6" t="s"/>
      <c r="BU1" s="6" t="s"/>
      <c r="BV1" s="6" t="s"/>
      <c r="BW1" s="6" t="s"/>
      <c r="BX1" s="7" t="s">
        <v>1</v>
      </c>
      <c r="BY1" s="5" t="s">
        <v>11</v>
      </c>
      <c r="BZ1" s="6" t="s"/>
      <c r="CA1" s="6" t="s"/>
      <c r="CB1" s="6" t="s"/>
      <c r="CC1" s="6" t="s"/>
      <c r="CD1" s="6" t="s"/>
      <c r="CE1" s="6" t="s"/>
      <c r="CF1" s="8" t="s">
        <v>1</v>
      </c>
    </row>
    <row r="2" spans="1:84" ht="15" customHeight="true">
      <c r="A2" s="9" t="s">
        <v>1</v>
      </c>
      <c r="B2" s="10" t="s">
        <v>1</v>
      </c>
      <c r="C2" s="10" t="s">
        <v>1</v>
      </c>
      <c r="D2" s="11" t="s">
        <v>1</v>
      </c>
      <c r="E2" s="12" t="s">
        <v>12</v>
      </c>
      <c r="F2" s="6" t="s"/>
      <c r="G2" s="6" t="s"/>
      <c r="H2" s="6" t="s"/>
      <c r="I2" s="13" t="s">
        <v>13</v>
      </c>
      <c r="J2" s="6" t="s"/>
      <c r="K2" s="6" t="s"/>
      <c r="L2" s="10" t="s">
        <v>1</v>
      </c>
      <c r="M2" s="12" t="s">
        <v>12</v>
      </c>
      <c r="N2" s="6" t="s"/>
      <c r="O2" s="6" t="s"/>
      <c r="P2" s="6" t="s"/>
      <c r="Q2" s="13" t="s">
        <v>13</v>
      </c>
      <c r="R2" s="6" t="s"/>
      <c r="S2" s="6" t="s"/>
      <c r="T2" s="10" t="s">
        <v>1</v>
      </c>
      <c r="U2" s="12" t="s">
        <v>12</v>
      </c>
      <c r="V2" s="6" t="s"/>
      <c r="W2" s="6" t="s"/>
      <c r="X2" s="6" t="s"/>
      <c r="Y2" s="13" t="s">
        <v>13</v>
      </c>
      <c r="Z2" s="6" t="s"/>
      <c r="AA2" s="6" t="s"/>
      <c r="AB2" s="10" t="s">
        <v>1</v>
      </c>
      <c r="AC2" s="12" t="s">
        <v>12</v>
      </c>
      <c r="AD2" s="6" t="s"/>
      <c r="AE2" s="6" t="s"/>
      <c r="AF2" s="6" t="s"/>
      <c r="AG2" s="13" t="s">
        <v>13</v>
      </c>
      <c r="AH2" s="6" t="s"/>
      <c r="AI2" s="6" t="s"/>
      <c r="AJ2" s="10" t="s">
        <v>1</v>
      </c>
      <c r="AK2" s="12" t="s">
        <v>12</v>
      </c>
      <c r="AL2" s="6" t="s"/>
      <c r="AM2" s="6" t="s"/>
      <c r="AN2" s="6" t="s"/>
      <c r="AO2" s="13" t="s">
        <v>13</v>
      </c>
      <c r="AP2" s="6" t="s"/>
      <c r="AQ2" s="6" t="s"/>
      <c r="AR2" s="10" t="s">
        <v>1</v>
      </c>
      <c r="AS2" s="12" t="s">
        <v>12</v>
      </c>
      <c r="AT2" s="6" t="s"/>
      <c r="AU2" s="6" t="s"/>
      <c r="AV2" s="6" t="s"/>
      <c r="AW2" s="13" t="s">
        <v>13</v>
      </c>
      <c r="AX2" s="6" t="s"/>
      <c r="AY2" s="6" t="s"/>
      <c r="AZ2" s="10" t="s">
        <v>1</v>
      </c>
      <c r="BA2" s="12" t="s">
        <v>12</v>
      </c>
      <c r="BB2" s="6" t="s"/>
      <c r="BC2" s="6" t="s"/>
      <c r="BD2" s="6" t="s"/>
      <c r="BE2" s="13" t="s">
        <v>13</v>
      </c>
      <c r="BF2" s="6" t="s"/>
      <c r="BG2" s="6" t="s"/>
      <c r="BH2" s="10" t="s">
        <v>1</v>
      </c>
      <c r="BI2" s="12" t="s">
        <v>12</v>
      </c>
      <c r="BJ2" s="6" t="s"/>
      <c r="BK2" s="6" t="s"/>
      <c r="BL2" s="6" t="s"/>
      <c r="BM2" s="13" t="s">
        <v>13</v>
      </c>
      <c r="BN2" s="6" t="s"/>
      <c r="BO2" s="6" t="s"/>
      <c r="BP2" s="10" t="s">
        <v>1</v>
      </c>
      <c r="BQ2" s="12" t="s">
        <v>12</v>
      </c>
      <c r="BR2" s="6" t="s"/>
      <c r="BS2" s="6" t="s"/>
      <c r="BT2" s="6" t="s"/>
      <c r="BU2" s="13" t="s">
        <v>13</v>
      </c>
      <c r="BV2" s="6" t="s"/>
      <c r="BW2" s="6" t="s"/>
      <c r="BX2" s="10" t="s">
        <v>1</v>
      </c>
      <c r="BY2" s="12" t="s">
        <v>12</v>
      </c>
      <c r="BZ2" s="6" t="s"/>
      <c r="CA2" s="6" t="s"/>
      <c r="CB2" s="6" t="s"/>
      <c r="CC2" s="13" t="s">
        <v>13</v>
      </c>
      <c r="CD2" s="6" t="s"/>
      <c r="CE2" s="6" t="s"/>
      <c r="CF2" s="10" t="s">
        <v>1</v>
      </c>
    </row>
    <row r="3" spans="1:84" ht="48.75" customHeight="true">
      <c r="A3" s="14" t="s">
        <v>155</v>
      </c>
      <c r="B3" s="14" t="s">
        <v>156</v>
      </c>
      <c r="C3" s="14" t="s">
        <v>157</v>
      </c>
      <c r="D3" s="15" t="s">
        <v>14</v>
      </c>
      <c r="E3" s="16" t="s">
        <v>15</v>
      </c>
      <c r="F3" s="16" t="s">
        <v>16</v>
      </c>
      <c r="G3" s="16" t="s">
        <v>17</v>
      </c>
      <c r="H3" s="16" t="s">
        <v>18</v>
      </c>
      <c r="I3" s="16" t="s">
        <v>19</v>
      </c>
      <c r="J3" s="16" t="s">
        <v>20</v>
      </c>
      <c r="K3" s="16" t="s">
        <v>21</v>
      </c>
      <c r="L3" s="17" t="s">
        <v>22</v>
      </c>
      <c r="M3" s="16" t="s">
        <v>23</v>
      </c>
      <c r="N3" s="16" t="s">
        <v>24</v>
      </c>
      <c r="O3" s="16" t="s">
        <v>25</v>
      </c>
      <c r="P3" s="16" t="s">
        <v>26</v>
      </c>
      <c r="Q3" s="16" t="s">
        <v>27</v>
      </c>
      <c r="R3" s="16" t="s">
        <v>28</v>
      </c>
      <c r="S3" s="16" t="s">
        <v>29</v>
      </c>
      <c r="T3" s="17" t="s">
        <v>30</v>
      </c>
      <c r="U3" s="16" t="s">
        <v>31</v>
      </c>
      <c r="V3" s="16" t="s">
        <v>32</v>
      </c>
      <c r="W3" s="16" t="s">
        <v>33</v>
      </c>
      <c r="X3" s="16" t="s">
        <v>34</v>
      </c>
      <c r="Y3" s="16" t="s">
        <v>35</v>
      </c>
      <c r="Z3" s="16" t="s">
        <v>36</v>
      </c>
      <c r="AA3" s="16" t="s">
        <v>37</v>
      </c>
      <c r="AB3" s="17" t="s">
        <v>38</v>
      </c>
      <c r="AC3" s="16" t="s">
        <v>39</v>
      </c>
      <c r="AD3" s="16" t="s">
        <v>40</v>
      </c>
      <c r="AE3" s="16" t="s">
        <v>41</v>
      </c>
      <c r="AF3" s="16" t="s">
        <v>42</v>
      </c>
      <c r="AG3" s="16" t="s">
        <v>43</v>
      </c>
      <c r="AH3" s="16" t="s">
        <v>44</v>
      </c>
      <c r="AI3" s="16" t="s">
        <v>45</v>
      </c>
      <c r="AJ3" s="17" t="s">
        <v>46</v>
      </c>
      <c r="AK3" s="16" t="s">
        <v>47</v>
      </c>
      <c r="AL3" s="16" t="s">
        <v>48</v>
      </c>
      <c r="AM3" s="16" t="s">
        <v>49</v>
      </c>
      <c r="AN3" s="16" t="s">
        <v>50</v>
      </c>
      <c r="AO3" s="16" t="s">
        <v>51</v>
      </c>
      <c r="AP3" s="16" t="s">
        <v>52</v>
      </c>
      <c r="AQ3" s="16" t="s">
        <v>53</v>
      </c>
      <c r="AR3" s="17" t="s">
        <v>54</v>
      </c>
      <c r="AS3" s="16" t="s">
        <v>55</v>
      </c>
      <c r="AT3" s="16" t="s">
        <v>56</v>
      </c>
      <c r="AU3" s="16" t="s">
        <v>57</v>
      </c>
      <c r="AV3" s="16" t="s">
        <v>58</v>
      </c>
      <c r="AW3" s="16" t="s">
        <v>59</v>
      </c>
      <c r="AX3" s="16" t="s">
        <v>60</v>
      </c>
      <c r="AY3" s="16" t="s">
        <v>61</v>
      </c>
      <c r="AZ3" s="17" t="s">
        <v>62</v>
      </c>
      <c r="BA3" s="16" t="s">
        <v>63</v>
      </c>
      <c r="BB3" s="16" t="s">
        <v>64</v>
      </c>
      <c r="BC3" s="16" t="s">
        <v>65</v>
      </c>
      <c r="BD3" s="16" t="s">
        <v>66</v>
      </c>
      <c r="BE3" s="16" t="s">
        <v>67</v>
      </c>
      <c r="BF3" s="16" t="s">
        <v>68</v>
      </c>
      <c r="BG3" s="16" t="s">
        <v>69</v>
      </c>
      <c r="BH3" s="17" t="s">
        <v>70</v>
      </c>
      <c r="BI3" s="16" t="s">
        <v>71</v>
      </c>
      <c r="BJ3" s="16" t="s">
        <v>72</v>
      </c>
      <c r="BK3" s="16" t="s">
        <v>73</v>
      </c>
      <c r="BL3" s="16" t="s">
        <v>74</v>
      </c>
      <c r="BM3" s="16" t="s">
        <v>75</v>
      </c>
      <c r="BN3" s="16" t="s">
        <v>76</v>
      </c>
      <c r="BO3" s="16" t="s">
        <v>77</v>
      </c>
      <c r="BP3" s="17" t="s">
        <v>78</v>
      </c>
      <c r="BQ3" s="16" t="s">
        <v>79</v>
      </c>
      <c r="BR3" s="16" t="s">
        <v>80</v>
      </c>
      <c r="BS3" s="16" t="s">
        <v>81</v>
      </c>
      <c r="BT3" s="16" t="s">
        <v>82</v>
      </c>
      <c r="BU3" s="16" t="s">
        <v>83</v>
      </c>
      <c r="BV3" s="16" t="s">
        <v>84</v>
      </c>
      <c r="BW3" s="16" t="s">
        <v>85</v>
      </c>
      <c r="BX3" s="17" t="s">
        <v>86</v>
      </c>
      <c r="BY3" s="16" t="s">
        <v>87</v>
      </c>
      <c r="BZ3" s="16" t="s">
        <v>88</v>
      </c>
      <c r="CA3" s="16" t="s">
        <v>89</v>
      </c>
      <c r="CB3" s="16" t="s">
        <v>90</v>
      </c>
      <c r="CC3" s="16" t="s">
        <v>91</v>
      </c>
      <c r="CD3" s="16" t="s">
        <v>92</v>
      </c>
      <c r="CE3" s="16" t="s">
        <v>93</v>
      </c>
      <c r="CF3" s="18" t="s">
        <v>94</v>
      </c>
    </row>
    <row r="4" spans="1:84">
      <c r="A4" s="19">
        <v>1</v>
      </c>
      <c r="B4" s="20" t="s">
        <v>158</v>
      </c>
      <c r="C4" s="20" t="s">
        <v>95</v>
      </c>
      <c r="D4" s="20" t="s">
        <v>96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2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2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2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2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2">
        <v>0</v>
      </c>
      <c r="AS4" s="21">
        <v>0</v>
      </c>
      <c r="AT4" s="21">
        <v>0</v>
      </c>
      <c r="AU4" s="21">
        <v>0</v>
      </c>
      <c r="AV4" s="21">
        <v>0</v>
      </c>
      <c r="AW4" s="21">
        <v>0</v>
      </c>
      <c r="AX4" s="21">
        <v>0</v>
      </c>
      <c r="AY4" s="21">
        <v>0</v>
      </c>
      <c r="AZ4" s="22">
        <v>0</v>
      </c>
      <c r="BA4" s="21">
        <v>0</v>
      </c>
      <c r="BB4" s="21">
        <v>0</v>
      </c>
      <c r="BC4" s="21">
        <v>0</v>
      </c>
      <c r="BD4" s="21">
        <v>0</v>
      </c>
      <c r="BE4" s="21">
        <v>0</v>
      </c>
      <c r="BF4" s="21">
        <v>0</v>
      </c>
      <c r="BG4" s="21">
        <v>0</v>
      </c>
      <c r="BH4" s="22">
        <v>0</v>
      </c>
      <c r="BI4" s="21">
        <v>0</v>
      </c>
      <c r="BJ4" s="21">
        <v>0</v>
      </c>
      <c r="BK4" s="21">
        <v>0</v>
      </c>
      <c r="BL4" s="21">
        <v>0</v>
      </c>
      <c r="BM4" s="21">
        <v>0</v>
      </c>
      <c r="BN4" s="21">
        <v>0</v>
      </c>
      <c r="BO4" s="21">
        <v>0</v>
      </c>
      <c r="BP4" s="22">
        <v>0</v>
      </c>
      <c r="BQ4" s="21">
        <v>0</v>
      </c>
      <c r="BR4" s="21">
        <v>0</v>
      </c>
      <c r="BS4" s="21">
        <v>0</v>
      </c>
      <c r="BT4" s="21">
        <v>0</v>
      </c>
      <c r="BU4" s="21">
        <v>0</v>
      </c>
      <c r="BV4" s="21">
        <v>0</v>
      </c>
      <c r="BW4" s="21">
        <v>0</v>
      </c>
      <c r="BX4" s="22">
        <v>0</v>
      </c>
      <c r="BY4" s="21">
        <v>0</v>
      </c>
      <c r="BZ4" s="21">
        <v>0</v>
      </c>
      <c r="CA4" s="21">
        <v>0</v>
      </c>
      <c r="CB4" s="21">
        <v>0</v>
      </c>
      <c r="CC4" s="21">
        <v>0</v>
      </c>
      <c r="CD4" s="21">
        <v>0</v>
      </c>
      <c r="CE4" s="21">
        <v>0</v>
      </c>
      <c r="CF4" s="22">
        <v>0</v>
      </c>
    </row>
    <row r="5" spans="1:84">
      <c r="A5" s="19">
        <v>2</v>
      </c>
      <c r="B5" s="20" t="s">
        <v>159</v>
      </c>
      <c r="C5" s="20" t="s">
        <v>95</v>
      </c>
      <c r="D5" s="20" t="s">
        <v>96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2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2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2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2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2">
        <v>0</v>
      </c>
      <c r="AS5" s="21">
        <v>0</v>
      </c>
      <c r="AT5" s="21">
        <v>0</v>
      </c>
      <c r="AU5" s="21">
        <v>0</v>
      </c>
      <c r="AV5" s="21">
        <v>0</v>
      </c>
      <c r="AW5" s="21">
        <v>0</v>
      </c>
      <c r="AX5" s="21">
        <v>0</v>
      </c>
      <c r="AY5" s="21">
        <v>0</v>
      </c>
      <c r="AZ5" s="22">
        <v>0</v>
      </c>
      <c r="BA5" s="21">
        <v>0</v>
      </c>
      <c r="BB5" s="21">
        <v>0</v>
      </c>
      <c r="BC5" s="21">
        <v>0</v>
      </c>
      <c r="BD5" s="21">
        <v>0</v>
      </c>
      <c r="BE5" s="21">
        <v>0</v>
      </c>
      <c r="BF5" s="21">
        <v>0</v>
      </c>
      <c r="BG5" s="21">
        <v>0</v>
      </c>
      <c r="BH5" s="22">
        <v>0</v>
      </c>
      <c r="BI5" s="21">
        <v>0</v>
      </c>
      <c r="BJ5" s="21">
        <v>0</v>
      </c>
      <c r="BK5" s="21">
        <v>0</v>
      </c>
      <c r="BL5" s="21">
        <v>0</v>
      </c>
      <c r="BM5" s="21">
        <v>0</v>
      </c>
      <c r="BN5" s="21">
        <v>0</v>
      </c>
      <c r="BO5" s="21">
        <v>0</v>
      </c>
      <c r="BP5" s="22">
        <v>0</v>
      </c>
      <c r="BQ5" s="21">
        <v>0</v>
      </c>
      <c r="BR5" s="21">
        <v>0</v>
      </c>
      <c r="BS5" s="21">
        <v>0</v>
      </c>
      <c r="BT5" s="21">
        <v>0</v>
      </c>
      <c r="BU5" s="21">
        <v>0</v>
      </c>
      <c r="BV5" s="21">
        <v>0</v>
      </c>
      <c r="BW5" s="21">
        <v>0</v>
      </c>
      <c r="BX5" s="22">
        <v>0</v>
      </c>
      <c r="BY5" s="21">
        <v>0</v>
      </c>
      <c r="BZ5" s="21">
        <v>0</v>
      </c>
      <c r="CA5" s="21">
        <v>0</v>
      </c>
      <c r="CB5" s="21">
        <v>0</v>
      </c>
      <c r="CC5" s="21">
        <v>0</v>
      </c>
      <c r="CD5" s="21">
        <v>0</v>
      </c>
      <c r="CE5" s="21">
        <v>0</v>
      </c>
      <c r="CF5" s="22">
        <v>0</v>
      </c>
    </row>
    <row r="6" spans="1:84">
      <c r="A6" s="19">
        <v>3</v>
      </c>
      <c r="B6" s="20" t="s">
        <v>160</v>
      </c>
      <c r="C6" s="20" t="s">
        <v>97</v>
      </c>
      <c r="D6" s="20" t="s">
        <v>96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2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2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2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2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2">
        <v>0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2">
        <v>0</v>
      </c>
      <c r="BA6" s="21">
        <v>0</v>
      </c>
      <c r="BB6" s="21">
        <v>0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H6" s="22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  <c r="BP6" s="22">
        <v>0</v>
      </c>
      <c r="BQ6" s="21">
        <v>0</v>
      </c>
      <c r="BR6" s="21">
        <v>0</v>
      </c>
      <c r="BS6" s="21">
        <v>0</v>
      </c>
      <c r="BT6" s="21">
        <v>0</v>
      </c>
      <c r="BU6" s="21">
        <v>0</v>
      </c>
      <c r="BV6" s="21">
        <v>0</v>
      </c>
      <c r="BW6" s="21">
        <v>0</v>
      </c>
      <c r="BX6" s="22">
        <v>0</v>
      </c>
      <c r="BY6" s="21">
        <v>0</v>
      </c>
      <c r="BZ6" s="21">
        <v>0</v>
      </c>
      <c r="CA6" s="21">
        <v>0</v>
      </c>
      <c r="CB6" s="21">
        <v>0</v>
      </c>
      <c r="CC6" s="21">
        <v>0</v>
      </c>
      <c r="CD6" s="21">
        <v>0</v>
      </c>
      <c r="CE6" s="21">
        <v>0</v>
      </c>
      <c r="CF6" s="22">
        <v>0</v>
      </c>
    </row>
    <row r="7" spans="1:84">
      <c r="A7" s="19">
        <v>4</v>
      </c>
      <c r="B7" s="20" t="s">
        <v>161</v>
      </c>
      <c r="C7" s="20" t="s">
        <v>97</v>
      </c>
      <c r="D7" s="20" t="s">
        <v>96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2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2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2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2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2">
        <v>0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>
        <v>0</v>
      </c>
      <c r="AY7" s="21">
        <v>0</v>
      </c>
      <c r="AZ7" s="22">
        <v>0</v>
      </c>
      <c r="BA7" s="21">
        <v>0</v>
      </c>
      <c r="BB7" s="21">
        <v>0</v>
      </c>
      <c r="BC7" s="21">
        <v>0</v>
      </c>
      <c r="BD7" s="21">
        <v>0</v>
      </c>
      <c r="BE7" s="21">
        <v>0</v>
      </c>
      <c r="BF7" s="21">
        <v>0</v>
      </c>
      <c r="BG7" s="21">
        <v>0</v>
      </c>
      <c r="BH7" s="22">
        <v>0</v>
      </c>
      <c r="BI7" s="21">
        <v>0</v>
      </c>
      <c r="BJ7" s="21">
        <v>0</v>
      </c>
      <c r="BK7" s="21">
        <v>0</v>
      </c>
      <c r="BL7" s="21">
        <v>0</v>
      </c>
      <c r="BM7" s="21">
        <v>0</v>
      </c>
      <c r="BN7" s="21">
        <v>0</v>
      </c>
      <c r="BO7" s="21">
        <v>0</v>
      </c>
      <c r="BP7" s="22">
        <v>0</v>
      </c>
      <c r="BQ7" s="21">
        <v>0</v>
      </c>
      <c r="BR7" s="21">
        <v>0</v>
      </c>
      <c r="BS7" s="21">
        <v>0</v>
      </c>
      <c r="BT7" s="21">
        <v>0</v>
      </c>
      <c r="BU7" s="21">
        <v>0</v>
      </c>
      <c r="BV7" s="21">
        <v>0</v>
      </c>
      <c r="BW7" s="21">
        <v>0</v>
      </c>
      <c r="BX7" s="22">
        <v>0</v>
      </c>
      <c r="BY7" s="21">
        <v>0</v>
      </c>
      <c r="BZ7" s="21">
        <v>0</v>
      </c>
      <c r="CA7" s="21">
        <v>0</v>
      </c>
      <c r="CB7" s="21">
        <v>0</v>
      </c>
      <c r="CC7" s="21">
        <v>0</v>
      </c>
      <c r="CD7" s="21">
        <v>0</v>
      </c>
      <c r="CE7" s="21">
        <v>0</v>
      </c>
      <c r="CF7" s="22">
        <v>0</v>
      </c>
    </row>
    <row r="8" spans="1:84">
      <c r="A8" s="23">
        <v>5</v>
      </c>
      <c r="B8" s="24" t="s">
        <v>162</v>
      </c>
      <c r="C8" s="24" t="s">
        <v>97</v>
      </c>
      <c r="D8" s="24" t="s">
        <v>98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2">
        <v>0</v>
      </c>
      <c r="M8" s="21">
        <v>10</v>
      </c>
      <c r="N8" s="21">
        <v>10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2">
        <v>0</v>
      </c>
      <c r="U8" s="21">
        <v>0</v>
      </c>
      <c r="V8" s="21">
        <v>15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2">
        <v>0</v>
      </c>
      <c r="AC8" s="21">
        <v>0</v>
      </c>
      <c r="AD8" s="21">
        <v>5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2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2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2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2">
        <v>0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  <c r="BO8" s="21">
        <v>0</v>
      </c>
      <c r="BP8" s="22">
        <v>0</v>
      </c>
      <c r="BQ8" s="21">
        <v>0</v>
      </c>
      <c r="BR8" s="21">
        <v>0</v>
      </c>
      <c r="BS8" s="21">
        <v>0</v>
      </c>
      <c r="BT8" s="21">
        <v>0</v>
      </c>
      <c r="BU8" s="21">
        <v>0</v>
      </c>
      <c r="BV8" s="21">
        <v>0</v>
      </c>
      <c r="BW8" s="21">
        <v>0</v>
      </c>
      <c r="BX8" s="22">
        <v>0</v>
      </c>
      <c r="BY8" s="21">
        <v>0</v>
      </c>
      <c r="BZ8" s="21">
        <v>0</v>
      </c>
      <c r="CA8" s="21">
        <v>0</v>
      </c>
      <c r="CB8" s="21">
        <v>0</v>
      </c>
      <c r="CC8" s="21">
        <v>0</v>
      </c>
      <c r="CD8" s="21">
        <v>0</v>
      </c>
      <c r="CE8" s="21">
        <v>0</v>
      </c>
      <c r="CF8" s="22">
        <v>0</v>
      </c>
    </row>
    <row r="9" spans="1:84">
      <c r="A9" s="23">
        <v>6</v>
      </c>
      <c r="B9" s="24" t="s">
        <v>163</v>
      </c>
      <c r="C9" s="24" t="s">
        <v>97</v>
      </c>
      <c r="D9" s="24" t="s">
        <v>98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2">
        <v>0</v>
      </c>
      <c r="M9" s="21">
        <v>0</v>
      </c>
      <c r="N9" s="21">
        <v>10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2">
        <v>0</v>
      </c>
      <c r="U9" s="21">
        <v>0</v>
      </c>
      <c r="V9" s="103">
        <v>15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2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2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2">
        <v>0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1">
        <v>0</v>
      </c>
      <c r="AZ9" s="22">
        <v>0</v>
      </c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F9" s="21">
        <v>0</v>
      </c>
      <c r="BG9" s="21">
        <v>0</v>
      </c>
      <c r="BH9" s="22">
        <v>0</v>
      </c>
      <c r="BI9" s="21">
        <v>0</v>
      </c>
      <c r="BJ9" s="21">
        <v>0</v>
      </c>
      <c r="BK9" s="21">
        <v>0</v>
      </c>
      <c r="BL9" s="21">
        <v>0</v>
      </c>
      <c r="BM9" s="21">
        <v>0</v>
      </c>
      <c r="BN9" s="21">
        <v>0</v>
      </c>
      <c r="BO9" s="21">
        <v>0</v>
      </c>
      <c r="BP9" s="22">
        <v>0</v>
      </c>
      <c r="BQ9" s="21">
        <v>0</v>
      </c>
      <c r="BR9" s="21">
        <v>0</v>
      </c>
      <c r="BS9" s="21">
        <v>0</v>
      </c>
      <c r="BT9" s="21">
        <v>0</v>
      </c>
      <c r="BU9" s="21">
        <v>0</v>
      </c>
      <c r="BV9" s="21">
        <v>0</v>
      </c>
      <c r="BW9" s="21">
        <v>0</v>
      </c>
      <c r="BX9" s="22">
        <v>0</v>
      </c>
      <c r="BY9" s="21">
        <v>0</v>
      </c>
      <c r="BZ9" s="21">
        <v>0</v>
      </c>
      <c r="CA9" s="21">
        <v>0</v>
      </c>
      <c r="CB9" s="21">
        <v>0</v>
      </c>
      <c r="CC9" s="21">
        <v>0</v>
      </c>
      <c r="CD9" s="21">
        <v>0</v>
      </c>
      <c r="CE9" s="21">
        <v>0</v>
      </c>
      <c r="CF9" s="22">
        <v>0</v>
      </c>
    </row>
    <row r="10" spans="1:84">
      <c r="A10" s="23">
        <v>7</v>
      </c>
      <c r="B10" s="24" t="s">
        <v>164</v>
      </c>
      <c r="C10" s="24" t="s">
        <v>99</v>
      </c>
      <c r="D10" s="24" t="s">
        <v>98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2">
        <v>0</v>
      </c>
      <c r="M10" s="21">
        <v>10</v>
      </c>
      <c r="N10" s="21">
        <v>10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2">
        <v>0</v>
      </c>
      <c r="U10" s="21">
        <v>0</v>
      </c>
      <c r="V10" s="21">
        <v>15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2">
        <v>0</v>
      </c>
      <c r="AC10" s="21">
        <v>0</v>
      </c>
      <c r="AD10" s="21">
        <v>5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2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2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2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2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  <c r="BO10" s="21">
        <v>0</v>
      </c>
      <c r="BP10" s="22">
        <v>0</v>
      </c>
      <c r="BQ10" s="21">
        <v>0</v>
      </c>
      <c r="BR10" s="21">
        <v>0</v>
      </c>
      <c r="BS10" s="21">
        <v>0</v>
      </c>
      <c r="BT10" s="21">
        <v>0</v>
      </c>
      <c r="BU10" s="21">
        <v>0</v>
      </c>
      <c r="BV10" s="21">
        <v>0</v>
      </c>
      <c r="BW10" s="21">
        <v>0</v>
      </c>
      <c r="BX10" s="22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2">
        <v>0</v>
      </c>
    </row>
    <row r="11" spans="1:84">
      <c r="A11" s="25">
        <v>8</v>
      </c>
      <c r="B11" s="26" t="s">
        <v>165</v>
      </c>
      <c r="C11" s="26" t="s">
        <v>99</v>
      </c>
      <c r="D11" s="26" t="s">
        <v>100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2">
        <v>0</v>
      </c>
      <c r="M11" s="21">
        <v>0</v>
      </c>
      <c r="N11" s="21">
        <v>14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2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2">
        <v>0</v>
      </c>
      <c r="AC11" s="21">
        <v>0</v>
      </c>
      <c r="AD11" s="21">
        <v>15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2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2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2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2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2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2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2">
        <v>0</v>
      </c>
    </row>
    <row r="12" spans="1:84">
      <c r="A12" s="25">
        <v>9</v>
      </c>
      <c r="B12" s="26" t="s">
        <v>166</v>
      </c>
      <c r="C12" s="26" t="s">
        <v>99</v>
      </c>
      <c r="D12" s="26" t="s">
        <v>100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2">
        <v>0</v>
      </c>
      <c r="M12" s="21">
        <v>0</v>
      </c>
      <c r="N12" s="21">
        <v>14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2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2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2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2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2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2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2">
        <v>0</v>
      </c>
      <c r="BQ12" s="21">
        <v>0</v>
      </c>
      <c r="BR12" s="21">
        <v>0</v>
      </c>
      <c r="BS12" s="21">
        <v>0</v>
      </c>
      <c r="BT12" s="21">
        <v>0</v>
      </c>
      <c r="BU12" s="21">
        <v>0</v>
      </c>
      <c r="BV12" s="21">
        <v>0</v>
      </c>
      <c r="BW12" s="21">
        <v>0</v>
      </c>
      <c r="BX12" s="22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2">
        <v>0</v>
      </c>
    </row>
    <row r="13" spans="1:84">
      <c r="A13" s="25">
        <v>10</v>
      </c>
      <c r="B13" s="26" t="s">
        <v>167</v>
      </c>
      <c r="C13" s="26" t="s">
        <v>101</v>
      </c>
      <c r="D13" s="26" t="s">
        <v>100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2">
        <v>0</v>
      </c>
      <c r="M13" s="21">
        <v>0</v>
      </c>
      <c r="N13" s="21">
        <v>14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2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2">
        <v>0</v>
      </c>
      <c r="AC13" s="21">
        <v>0</v>
      </c>
      <c r="AD13" s="21">
        <v>15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2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2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2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2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v>0</v>
      </c>
      <c r="BO13" s="21">
        <v>0</v>
      </c>
      <c r="BP13" s="22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2">
        <v>0</v>
      </c>
      <c r="BY13" s="21">
        <v>0</v>
      </c>
      <c r="BZ13" s="21"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2">
        <v>0</v>
      </c>
    </row>
    <row r="14" spans="1:84">
      <c r="A14" s="27">
        <v>11</v>
      </c>
      <c r="B14" s="28" t="s">
        <v>168</v>
      </c>
      <c r="C14" s="28" t="s">
        <v>101</v>
      </c>
      <c r="D14" s="28" t="s">
        <v>102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2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2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2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2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2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2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2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  <c r="BO14" s="21">
        <v>0</v>
      </c>
      <c r="BP14" s="22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2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2">
        <v>0</v>
      </c>
    </row>
    <row r="15" spans="1:84">
      <c r="A15" s="27">
        <v>12</v>
      </c>
      <c r="B15" s="28" t="s">
        <v>169</v>
      </c>
      <c r="C15" s="28" t="s">
        <v>101</v>
      </c>
      <c r="D15" s="28" t="s">
        <v>102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2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2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2">
        <v>0</v>
      </c>
      <c r="AC15" s="21">
        <v>0</v>
      </c>
      <c r="AD15" s="21">
        <v>10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2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2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2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2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2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2">
        <v>0</v>
      </c>
      <c r="BY15" s="21">
        <v>0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2">
        <v>0</v>
      </c>
    </row>
    <row r="16" spans="1:84">
      <c r="A16" s="27">
        <v>13</v>
      </c>
      <c r="B16" s="28" t="s">
        <v>170</v>
      </c>
      <c r="C16" s="28" t="s">
        <v>103</v>
      </c>
      <c r="D16" s="28" t="s">
        <v>102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2">
        <v>0</v>
      </c>
      <c r="M16" s="21">
        <v>10</v>
      </c>
      <c r="N16" s="21">
        <v>20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2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2">
        <v>0</v>
      </c>
      <c r="AC16" s="21">
        <v>0</v>
      </c>
      <c r="AD16" s="21">
        <v>10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2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2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2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2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2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2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2">
        <v>0</v>
      </c>
    </row>
    <row r="17" spans="1:84">
      <c r="A17" s="19">
        <v>14</v>
      </c>
      <c r="B17" s="20" t="s">
        <v>171</v>
      </c>
      <c r="C17" s="20" t="s">
        <v>104</v>
      </c>
      <c r="D17" s="20" t="s">
        <v>96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2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2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2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2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2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2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2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2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2">
        <v>0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2">
        <v>0</v>
      </c>
    </row>
    <row r="18" spans="1:84">
      <c r="A18" s="23">
        <v>15</v>
      </c>
      <c r="B18" s="24" t="s">
        <v>172</v>
      </c>
      <c r="C18" s="24" t="s">
        <v>104</v>
      </c>
      <c r="D18" s="24" t="s">
        <v>98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2">
        <v>0</v>
      </c>
      <c r="M18" s="21">
        <v>10</v>
      </c>
      <c r="N18" s="21">
        <v>10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2">
        <v>0</v>
      </c>
      <c r="U18" s="21">
        <v>0</v>
      </c>
      <c r="V18" s="21">
        <v>15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2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2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2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2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2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  <c r="BO18" s="21">
        <v>0</v>
      </c>
      <c r="BP18" s="22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2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2">
        <v>0</v>
      </c>
    </row>
    <row r="19" spans="1:84">
      <c r="A19" s="23">
        <v>16</v>
      </c>
      <c r="B19" s="24" t="s">
        <v>173</v>
      </c>
      <c r="C19" s="24" t="s">
        <v>104</v>
      </c>
      <c r="D19" s="24" t="s">
        <v>98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2">
        <v>0</v>
      </c>
      <c r="M19" s="21">
        <v>10</v>
      </c>
      <c r="N19" s="21">
        <v>10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2">
        <v>0</v>
      </c>
      <c r="U19" s="21">
        <v>0</v>
      </c>
      <c r="V19" s="21">
        <v>15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2">
        <v>0</v>
      </c>
      <c r="AC19" s="21">
        <v>0</v>
      </c>
      <c r="AD19" s="21">
        <v>5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2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2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2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2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2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2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2">
        <v>0</v>
      </c>
    </row>
    <row r="20" spans="1:84">
      <c r="A20" s="25">
        <v>17</v>
      </c>
      <c r="B20" s="26" t="s">
        <v>174</v>
      </c>
      <c r="C20" s="26" t="s">
        <v>104</v>
      </c>
      <c r="D20" s="26" t="s">
        <v>100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2">
        <v>0</v>
      </c>
      <c r="M20" s="21">
        <v>0</v>
      </c>
      <c r="N20" s="21">
        <v>14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2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2">
        <v>0</v>
      </c>
      <c r="AC20" s="21">
        <v>0</v>
      </c>
      <c r="AD20" s="21">
        <v>15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2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2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2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2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  <c r="BO20" s="21">
        <v>0</v>
      </c>
      <c r="BP20" s="22">
        <v>0</v>
      </c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21">
        <v>0</v>
      </c>
      <c r="BW20" s="21">
        <v>0</v>
      </c>
      <c r="BX20" s="22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2">
        <v>0</v>
      </c>
    </row>
    <row r="21" spans="1:84">
      <c r="A21" s="25">
        <v>18</v>
      </c>
      <c r="B21" s="26" t="s">
        <v>175</v>
      </c>
      <c r="C21" s="26" t="s">
        <v>104</v>
      </c>
      <c r="D21" s="26" t="s">
        <v>100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2">
        <v>0</v>
      </c>
      <c r="M21" s="21">
        <v>0</v>
      </c>
      <c r="N21" s="21">
        <v>14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2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2">
        <v>0</v>
      </c>
      <c r="AC21" s="21">
        <v>0</v>
      </c>
      <c r="AD21" s="21">
        <v>15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2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2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2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2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2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2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2">
        <v>0</v>
      </c>
    </row>
    <row r="22" spans="1:84">
      <c r="A22" s="27">
        <v>19</v>
      </c>
      <c r="B22" s="28" t="s">
        <v>176</v>
      </c>
      <c r="C22" s="28" t="s">
        <v>104</v>
      </c>
      <c r="D22" s="28" t="s">
        <v>102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2">
        <v>0</v>
      </c>
      <c r="M22" s="21">
        <v>0</v>
      </c>
      <c r="N22" s="21">
        <v>20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2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2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2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2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2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2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P22" s="22">
        <v>0</v>
      </c>
      <c r="BQ22" s="21">
        <v>0</v>
      </c>
      <c r="BR22" s="21">
        <v>0</v>
      </c>
      <c r="BS22" s="21">
        <v>0</v>
      </c>
      <c r="BT22" s="21">
        <v>0</v>
      </c>
      <c r="BU22" s="21">
        <v>0</v>
      </c>
      <c r="BV22" s="21">
        <v>0</v>
      </c>
      <c r="BW22" s="21">
        <v>0</v>
      </c>
      <c r="BX22" s="22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2">
        <v>0</v>
      </c>
    </row>
    <row r="23" spans="1:84">
      <c r="A23" s="27">
        <v>20</v>
      </c>
      <c r="B23" s="28" t="s">
        <v>177</v>
      </c>
      <c r="C23" s="28" t="s">
        <v>105</v>
      </c>
      <c r="D23" s="28" t="s">
        <v>102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2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2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2">
        <v>0</v>
      </c>
      <c r="AC23" s="21">
        <v>0</v>
      </c>
      <c r="AD23" s="21">
        <v>10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2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2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2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2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2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2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2">
        <v>0</v>
      </c>
    </row>
    <row r="24" spans="1:84">
      <c r="A24" s="19">
        <v>21</v>
      </c>
      <c r="B24" s="20" t="s">
        <v>178</v>
      </c>
      <c r="C24" s="20" t="s">
        <v>106</v>
      </c>
      <c r="D24" s="20" t="s">
        <v>96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2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2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2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2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2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0</v>
      </c>
      <c r="AY24" s="21">
        <v>0</v>
      </c>
      <c r="AZ24" s="22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H24" s="22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v>0</v>
      </c>
      <c r="BO24" s="21">
        <v>0</v>
      </c>
      <c r="BP24" s="22">
        <v>0</v>
      </c>
      <c r="BQ24" s="21">
        <v>0</v>
      </c>
      <c r="BR24" s="21">
        <v>0</v>
      </c>
      <c r="BS24" s="21">
        <v>0</v>
      </c>
      <c r="BT24" s="21">
        <v>0</v>
      </c>
      <c r="BU24" s="21">
        <v>0</v>
      </c>
      <c r="BV24" s="21">
        <v>0</v>
      </c>
      <c r="BW24" s="21">
        <v>0</v>
      </c>
      <c r="BX24" s="22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2">
        <v>0</v>
      </c>
    </row>
    <row r="25" spans="1:84">
      <c r="A25" s="23">
        <v>22</v>
      </c>
      <c r="B25" s="24" t="s">
        <v>179</v>
      </c>
      <c r="C25" s="24" t="s">
        <v>106</v>
      </c>
      <c r="D25" s="24" t="s">
        <v>98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2">
        <v>0</v>
      </c>
      <c r="M25" s="21">
        <v>0</v>
      </c>
      <c r="N25" s="21">
        <v>10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2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2">
        <v>0</v>
      </c>
      <c r="AC25" s="21">
        <v>0</v>
      </c>
      <c r="AD25" s="21">
        <v>5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2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2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0</v>
      </c>
      <c r="AY25" s="21">
        <v>0</v>
      </c>
      <c r="AZ25" s="22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2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2">
        <v>0</v>
      </c>
      <c r="BQ25" s="21">
        <v>0</v>
      </c>
      <c r="BR25" s="21">
        <v>0</v>
      </c>
      <c r="BS25" s="21">
        <v>0</v>
      </c>
      <c r="BT25" s="21">
        <v>0</v>
      </c>
      <c r="BU25" s="21">
        <v>0</v>
      </c>
      <c r="BV25" s="21">
        <v>0</v>
      </c>
      <c r="BW25" s="21">
        <v>0</v>
      </c>
      <c r="BX25" s="22">
        <v>0</v>
      </c>
      <c r="BY25" s="21">
        <v>0</v>
      </c>
      <c r="BZ25" s="21"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  <c r="CF25" s="22">
        <v>0</v>
      </c>
    </row>
    <row r="26" spans="1:84">
      <c r="A26" s="29">
        <v>23</v>
      </c>
      <c r="B26" s="26" t="s">
        <v>180</v>
      </c>
      <c r="C26" s="26" t="s">
        <v>106</v>
      </c>
      <c r="D26" s="26" t="s">
        <v>100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2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2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2">
        <v>0</v>
      </c>
      <c r="AC26" s="21">
        <v>0</v>
      </c>
      <c r="AD26" s="21">
        <v>5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2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2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2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2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  <c r="BO26" s="21">
        <v>0</v>
      </c>
      <c r="BP26" s="22">
        <v>0</v>
      </c>
      <c r="BQ26" s="21">
        <v>0</v>
      </c>
      <c r="BR26" s="21">
        <v>0</v>
      </c>
      <c r="BS26" s="21">
        <v>0</v>
      </c>
      <c r="BT26" s="21">
        <v>0</v>
      </c>
      <c r="BU26" s="21">
        <v>0</v>
      </c>
      <c r="BV26" s="21">
        <v>0</v>
      </c>
      <c r="BW26" s="21">
        <v>0</v>
      </c>
      <c r="BX26" s="22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2">
        <v>0</v>
      </c>
    </row>
    <row r="27" spans="1:84">
      <c r="A27" s="27">
        <v>24</v>
      </c>
      <c r="B27" s="28" t="s">
        <v>181</v>
      </c>
      <c r="C27" s="28" t="s">
        <v>106</v>
      </c>
      <c r="D27" s="28" t="s">
        <v>102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2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2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2">
        <v>0</v>
      </c>
      <c r="AC27" s="21">
        <v>0</v>
      </c>
      <c r="AD27" s="21">
        <v>10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2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2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2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2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2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2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2">
        <v>0</v>
      </c>
    </row>
    <row r="28" spans="1:84">
      <c r="A28" s="27">
        <v>25</v>
      </c>
      <c r="B28" s="28" t="s">
        <v>182</v>
      </c>
      <c r="C28" s="28" t="s">
        <v>106</v>
      </c>
      <c r="D28" s="28" t="s">
        <v>102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2">
        <v>0</v>
      </c>
      <c r="M28" s="21">
        <v>10</v>
      </c>
      <c r="N28" s="21">
        <v>20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2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2">
        <v>0</v>
      </c>
      <c r="AC28" s="21">
        <v>0</v>
      </c>
      <c r="AD28" s="21">
        <v>10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2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2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2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2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  <c r="BO28" s="21">
        <v>0</v>
      </c>
      <c r="BP28" s="22">
        <v>0</v>
      </c>
      <c r="BQ28" s="21">
        <v>0</v>
      </c>
      <c r="BR28" s="21">
        <v>0</v>
      </c>
      <c r="BS28" s="21">
        <v>0</v>
      </c>
      <c r="BT28" s="21">
        <v>0</v>
      </c>
      <c r="BU28" s="21">
        <v>0</v>
      </c>
      <c r="BV28" s="21">
        <v>0</v>
      </c>
      <c r="BW28" s="21">
        <v>0</v>
      </c>
      <c r="BX28" s="22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2">
        <v>0</v>
      </c>
    </row>
    <row r="29" spans="1:84">
      <c r="A29" s="29">
        <v>26</v>
      </c>
      <c r="B29" s="30" t="s">
        <v>183</v>
      </c>
      <c r="C29" s="26" t="s">
        <v>106</v>
      </c>
      <c r="D29" s="26" t="s">
        <v>100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2">
        <v>0</v>
      </c>
      <c r="M29" s="21">
        <v>0</v>
      </c>
      <c r="N29" s="21">
        <v>14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2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2">
        <v>0</v>
      </c>
      <c r="AC29" s="21">
        <v>0</v>
      </c>
      <c r="AD29" s="21">
        <v>15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2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2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2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2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2">
        <v>0</v>
      </c>
      <c r="BQ29" s="21">
        <v>0</v>
      </c>
      <c r="BR29" s="21">
        <v>0</v>
      </c>
      <c r="BS29" s="21">
        <v>0</v>
      </c>
      <c r="BT29" s="21">
        <v>0</v>
      </c>
      <c r="BU29" s="21">
        <v>0</v>
      </c>
      <c r="BV29" s="21">
        <v>0</v>
      </c>
      <c r="BW29" s="21">
        <v>0</v>
      </c>
      <c r="BX29" s="22">
        <v>0</v>
      </c>
      <c r="BY29" s="21">
        <v>0</v>
      </c>
      <c r="BZ29" s="21">
        <v>0</v>
      </c>
      <c r="CA29" s="21">
        <v>0</v>
      </c>
      <c r="CB29" s="21">
        <v>0</v>
      </c>
      <c r="CC29" s="21">
        <v>0</v>
      </c>
      <c r="CD29" s="21">
        <v>0</v>
      </c>
      <c r="CE29" s="21">
        <v>0</v>
      </c>
      <c r="CF29" s="22">
        <v>0</v>
      </c>
    </row>
    <row r="30" spans="1:84">
      <c r="A30" s="31">
        <v>27</v>
      </c>
      <c r="B30" s="32" t="s">
        <v>184</v>
      </c>
      <c r="C30" s="32" t="s">
        <v>106</v>
      </c>
      <c r="D30" s="32" t="s">
        <v>96</v>
      </c>
      <c r="E30" s="21">
        <v>0</v>
      </c>
      <c r="F30" s="21">
        <v>10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2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2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2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2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2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2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2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2">
        <v>0</v>
      </c>
      <c r="BQ30" s="21">
        <v>0</v>
      </c>
      <c r="BR30" s="21">
        <v>0</v>
      </c>
      <c r="BS30" s="21">
        <v>0</v>
      </c>
      <c r="BT30" s="21">
        <v>0</v>
      </c>
      <c r="BU30" s="21">
        <v>0</v>
      </c>
      <c r="BV30" s="21">
        <v>0</v>
      </c>
      <c r="BW30" s="21">
        <v>0</v>
      </c>
      <c r="BX30" s="22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2">
        <v>0</v>
      </c>
    </row>
  </sheetData>
  <mergeCells count="30">
    <mergeCell ref="E1:K1"/>
    <mergeCell ref="M1:S1"/>
    <mergeCell ref="U1:AA1"/>
    <mergeCell ref="AC1:AI1"/>
    <mergeCell ref="AK1:AQ1"/>
    <mergeCell ref="AS1:AY1"/>
    <mergeCell ref="BA1:BG1"/>
    <mergeCell ref="BI1:BO1"/>
    <mergeCell ref="BQ1:BW1"/>
    <mergeCell ref="BY1:CE1"/>
    <mergeCell ref="E2:H2"/>
    <mergeCell ref="I2:K2"/>
    <mergeCell ref="M2:P2"/>
    <mergeCell ref="Q2:S2"/>
    <mergeCell ref="U2:X2"/>
    <mergeCell ref="Y2:AA2"/>
    <mergeCell ref="AC2:AF2"/>
    <mergeCell ref="AG2:AI2"/>
    <mergeCell ref="AK2:AN2"/>
    <mergeCell ref="AO2:AQ2"/>
    <mergeCell ref="AS2:AV2"/>
    <mergeCell ref="AW2:AY2"/>
    <mergeCell ref="BA2:BD2"/>
    <mergeCell ref="BE2:BG2"/>
    <mergeCell ref="BI2:BL2"/>
    <mergeCell ref="BM2:BO2"/>
    <mergeCell ref="BQ2:BT2"/>
    <mergeCell ref="BU2:BW2"/>
    <mergeCell ref="BY2:CB2"/>
    <mergeCell ref="CC2:CE2"/>
  </mergeCells>
  <dataValidations>
    <dataValidation type="whole" errorStyle="stop" allowBlank="true" showDropDown="false" showInputMessage="true" showErrorMessage="true" prompt="" sqref="E4:E30">
      <formula1/>
      <formula2/>
    </dataValidation>
    <dataValidation type="whole" errorStyle="stop" allowBlank="true" showDropDown="false" showInputMessage="true" showErrorMessage="true" prompt="" sqref="F4:F30">
      <formula1/>
      <formula2/>
    </dataValidation>
    <dataValidation type="whole" errorStyle="stop" allowBlank="true" showDropDown="false" showInputMessage="true" showErrorMessage="true" prompt="" sqref="G4:G30">
      <formula1/>
      <formula2/>
    </dataValidation>
    <dataValidation type="whole" errorStyle="stop" allowBlank="true" showDropDown="false" showInputMessage="true" showErrorMessage="true" prompt="" sqref="H4:H30">
      <formula1/>
      <formula2/>
    </dataValidation>
    <dataValidation type="whole" errorStyle="stop" allowBlank="true" showDropDown="false" showInputMessage="true" showErrorMessage="true" prompt="" sqref="I4:I30">
      <formula1/>
      <formula2/>
    </dataValidation>
    <dataValidation type="whole" errorStyle="stop" allowBlank="true" showDropDown="false" showInputMessage="true" showErrorMessage="true" prompt="" sqref="J4:J30">
      <formula1/>
      <formula2/>
    </dataValidation>
    <dataValidation type="whole" errorStyle="stop" allowBlank="true" showDropDown="false" showInputMessage="true" showErrorMessage="true" prompt="" sqref="K4:K30">
      <formula1/>
      <formula2/>
    </dataValidation>
    <dataValidation type="whole" errorStyle="stop" allowBlank="true" showDropDown="false" showInputMessage="true" showErrorMessage="true" prompt="" sqref="L4:L30">
      <formula1/>
      <formula2/>
    </dataValidation>
    <dataValidation type="whole" errorStyle="stop" allowBlank="true" showDropDown="false" showInputMessage="true" showErrorMessage="true" prompt="" sqref="M4:M30">
      <formula1/>
      <formula2/>
    </dataValidation>
    <dataValidation type="whole" errorStyle="stop" allowBlank="true" showDropDown="false" showInputMessage="true" showErrorMessage="true" prompt="" sqref="N4:N30">
      <formula1/>
      <formula2/>
    </dataValidation>
    <dataValidation type="whole" errorStyle="stop" allowBlank="true" showDropDown="false" showInputMessage="true" showErrorMessage="true" prompt="" sqref="O4:O30">
      <formula1/>
      <formula2/>
    </dataValidation>
    <dataValidation type="whole" errorStyle="stop" allowBlank="true" showDropDown="false" showInputMessage="true" showErrorMessage="true" prompt="" sqref="P4:P30">
      <formula1/>
      <formula2/>
    </dataValidation>
    <dataValidation type="whole" errorStyle="stop" allowBlank="true" showDropDown="false" showInputMessage="true" showErrorMessage="true" prompt="" sqref="Q4:Q30">
      <formula1/>
      <formula2/>
    </dataValidation>
    <dataValidation type="whole" errorStyle="stop" allowBlank="true" showDropDown="false" showInputMessage="true" showErrorMessage="true" prompt="" sqref="R4:R30">
      <formula1/>
      <formula2/>
    </dataValidation>
    <dataValidation type="whole" errorStyle="stop" allowBlank="true" showDropDown="false" showInputMessage="true" showErrorMessage="true" prompt="" sqref="S4:S30">
      <formula1/>
      <formula2/>
    </dataValidation>
    <dataValidation type="whole" errorStyle="stop" allowBlank="true" showDropDown="false" showInputMessage="true" showErrorMessage="true" prompt="" sqref="T4:T30">
      <formula1/>
      <formula2/>
    </dataValidation>
    <dataValidation type="whole" errorStyle="stop" allowBlank="true" showDropDown="false" showInputMessage="true" showErrorMessage="true" prompt="" sqref="U4:U30">
      <formula1/>
      <formula2/>
    </dataValidation>
    <dataValidation type="whole" errorStyle="stop" allowBlank="true" showDropDown="false" showInputMessage="true" showErrorMessage="true" prompt="" sqref="V4:V30">
      <formula1/>
      <formula2/>
    </dataValidation>
    <dataValidation type="whole" errorStyle="stop" allowBlank="true" showDropDown="false" showInputMessage="true" showErrorMessage="true" prompt="" sqref="W4:W30">
      <formula1/>
      <formula2/>
    </dataValidation>
    <dataValidation type="whole" errorStyle="stop" allowBlank="true" showDropDown="false" showInputMessage="true" showErrorMessage="true" prompt="" sqref="X4:X30">
      <formula1/>
      <formula2/>
    </dataValidation>
    <dataValidation type="whole" errorStyle="stop" allowBlank="true" showDropDown="false" showInputMessage="true" showErrorMessage="true" prompt="" sqref="Y4:Y30">
      <formula1/>
      <formula2/>
    </dataValidation>
    <dataValidation type="whole" errorStyle="stop" allowBlank="true" showDropDown="false" showInputMessage="true" showErrorMessage="true" prompt="" sqref="Z4:Z30">
      <formula1/>
      <formula2/>
    </dataValidation>
    <dataValidation type="whole" errorStyle="stop" allowBlank="true" showDropDown="false" showInputMessage="true" showErrorMessage="true" prompt="" sqref="AA4:AA30">
      <formula1/>
      <formula2/>
    </dataValidation>
    <dataValidation type="whole" errorStyle="stop" allowBlank="true" showDropDown="false" showInputMessage="true" showErrorMessage="true" prompt="" sqref="AB4:AB30">
      <formula1/>
      <formula2/>
    </dataValidation>
    <dataValidation type="whole" errorStyle="stop" allowBlank="true" showDropDown="false" showInputMessage="true" showErrorMessage="true" prompt="" sqref="AC4:AC30">
      <formula1/>
      <formula2/>
    </dataValidation>
    <dataValidation type="whole" errorStyle="stop" allowBlank="true" showDropDown="false" showInputMessage="true" showErrorMessage="true" prompt="" sqref="AD4:AD30">
      <formula1/>
      <formula2/>
    </dataValidation>
    <dataValidation type="whole" errorStyle="stop" allowBlank="true" showDropDown="false" showInputMessage="true" showErrorMessage="true" prompt="" sqref="AE4:AE30">
      <formula1/>
      <formula2/>
    </dataValidation>
    <dataValidation type="whole" errorStyle="stop" allowBlank="true" showDropDown="false" showInputMessage="true" showErrorMessage="true" prompt="" sqref="AF4:AF30">
      <formula1/>
      <formula2/>
    </dataValidation>
    <dataValidation type="whole" errorStyle="stop" allowBlank="true" showDropDown="false" showInputMessage="true" showErrorMessage="true" prompt="" sqref="AG4:AG30">
      <formula1/>
      <formula2/>
    </dataValidation>
    <dataValidation type="whole" errorStyle="stop" allowBlank="true" showDropDown="false" showInputMessage="true" showErrorMessage="true" prompt="" sqref="AH4:AH30">
      <formula1/>
      <formula2/>
    </dataValidation>
    <dataValidation type="whole" errorStyle="stop" allowBlank="true" showDropDown="false" showInputMessage="true" showErrorMessage="true" prompt="" sqref="AI4:AI30">
      <formula1/>
      <formula2/>
    </dataValidation>
    <dataValidation type="whole" errorStyle="stop" allowBlank="true" showDropDown="false" showInputMessage="true" showErrorMessage="true" prompt="" sqref="AJ4:AJ30">
      <formula1/>
      <formula2/>
    </dataValidation>
    <dataValidation type="whole" errorStyle="stop" allowBlank="true" showDropDown="false" showInputMessage="true" showErrorMessage="true" prompt="" sqref="AK4:AK30">
      <formula1/>
      <formula2/>
    </dataValidation>
    <dataValidation type="whole" errorStyle="stop" allowBlank="true" showDropDown="false" showInputMessage="true" showErrorMessage="true" prompt="" sqref="AL4:AL30">
      <formula1/>
      <formula2/>
    </dataValidation>
    <dataValidation type="whole" errorStyle="stop" allowBlank="true" showDropDown="false" showInputMessage="true" showErrorMessage="true" prompt="" sqref="AM4:AM30">
      <formula1/>
      <formula2/>
    </dataValidation>
    <dataValidation type="whole" errorStyle="stop" allowBlank="true" showDropDown="false" showInputMessage="true" showErrorMessage="true" prompt="" sqref="AN4:AN30">
      <formula1/>
      <formula2/>
    </dataValidation>
    <dataValidation type="whole" errorStyle="stop" allowBlank="true" showDropDown="false" showInputMessage="true" showErrorMessage="true" prompt="" sqref="AO4:AO30">
      <formula1/>
      <formula2/>
    </dataValidation>
    <dataValidation type="whole" errorStyle="stop" allowBlank="true" showDropDown="false" showInputMessage="true" showErrorMessage="true" prompt="" sqref="AP4:AP30">
      <formula1/>
      <formula2/>
    </dataValidation>
    <dataValidation type="whole" errorStyle="stop" allowBlank="true" showDropDown="false" showInputMessage="true" showErrorMessage="true" prompt="" sqref="AQ4:AQ30">
      <formula1/>
      <formula2/>
    </dataValidation>
    <dataValidation type="whole" errorStyle="stop" allowBlank="true" showDropDown="false" showInputMessage="true" showErrorMessage="true" prompt="" sqref="AR4:AR30">
      <formula1/>
      <formula2/>
    </dataValidation>
    <dataValidation type="whole" errorStyle="stop" allowBlank="true" showDropDown="false" showInputMessage="true" showErrorMessage="true" prompt="" sqref="AS4:AS30">
      <formula1/>
      <formula2/>
    </dataValidation>
    <dataValidation type="whole" errorStyle="stop" allowBlank="true" showDropDown="false" showInputMessage="true" showErrorMessage="true" prompt="" sqref="AT4:AT30">
      <formula1/>
      <formula2/>
    </dataValidation>
    <dataValidation type="whole" errorStyle="stop" allowBlank="true" showDropDown="false" showInputMessage="true" showErrorMessage="true" prompt="" sqref="AU4:AU30">
      <formula1/>
      <formula2/>
    </dataValidation>
    <dataValidation type="whole" errorStyle="stop" allowBlank="true" showDropDown="false" showInputMessage="true" showErrorMessage="true" prompt="" sqref="AV4:AV30">
      <formula1/>
      <formula2/>
    </dataValidation>
    <dataValidation type="whole" errorStyle="stop" allowBlank="true" showDropDown="false" showInputMessage="true" showErrorMessage="true" prompt="" sqref="AW4:AW30">
      <formula1/>
      <formula2/>
    </dataValidation>
    <dataValidation type="whole" errorStyle="stop" allowBlank="true" showDropDown="false" showInputMessage="true" showErrorMessage="true" prompt="" sqref="AX4:AX30">
      <formula1/>
      <formula2/>
    </dataValidation>
    <dataValidation type="whole" errorStyle="stop" allowBlank="true" showDropDown="false" showInputMessage="true" showErrorMessage="true" prompt="" sqref="AY4:AY30">
      <formula1/>
      <formula2/>
    </dataValidation>
    <dataValidation type="whole" errorStyle="stop" allowBlank="true" showDropDown="false" showInputMessage="true" showErrorMessage="true" prompt="" sqref="AZ4:AZ30">
      <formula1/>
      <formula2/>
    </dataValidation>
    <dataValidation type="whole" errorStyle="stop" allowBlank="true" showDropDown="false" showInputMessage="true" showErrorMessage="true" prompt="" sqref="BA4:BA30">
      <formula1/>
      <formula2/>
    </dataValidation>
    <dataValidation type="whole" errorStyle="stop" allowBlank="true" showDropDown="false" showInputMessage="true" showErrorMessage="true" prompt="" sqref="BB4:BB30">
      <formula1/>
      <formula2/>
    </dataValidation>
    <dataValidation type="whole" errorStyle="stop" allowBlank="true" showDropDown="false" showInputMessage="true" showErrorMessage="true" prompt="" sqref="BC4:BC30">
      <formula1/>
      <formula2/>
    </dataValidation>
    <dataValidation type="whole" errorStyle="stop" allowBlank="true" showDropDown="false" showInputMessage="true" showErrorMessage="true" prompt="" sqref="BD4:BD30">
      <formula1/>
      <formula2/>
    </dataValidation>
    <dataValidation type="whole" errorStyle="stop" allowBlank="true" showDropDown="false" showInputMessage="true" showErrorMessage="true" prompt="" sqref="BE4:BE30">
      <formula1/>
      <formula2/>
    </dataValidation>
    <dataValidation type="whole" errorStyle="stop" allowBlank="true" showDropDown="false" showInputMessage="true" showErrorMessage="true" prompt="" sqref="BF4:BF30">
      <formula1/>
      <formula2/>
    </dataValidation>
    <dataValidation type="whole" errorStyle="stop" allowBlank="true" showDropDown="false" showInputMessage="true" showErrorMessage="true" prompt="" sqref="BG4:BG30">
      <formula1/>
      <formula2/>
    </dataValidation>
    <dataValidation type="whole" errorStyle="stop" allowBlank="true" showDropDown="false" showInputMessage="true" showErrorMessage="true" prompt="" sqref="BH4:BH30">
      <formula1/>
      <formula2/>
    </dataValidation>
    <dataValidation type="whole" errorStyle="stop" allowBlank="true" showDropDown="false" showInputMessage="true" showErrorMessage="true" prompt="" sqref="BI4:BI30">
      <formula1/>
      <formula2/>
    </dataValidation>
    <dataValidation type="whole" errorStyle="stop" allowBlank="true" showDropDown="false" showInputMessage="true" showErrorMessage="true" prompt="" sqref="BJ4:BJ30">
      <formula1/>
      <formula2/>
    </dataValidation>
    <dataValidation type="whole" errorStyle="stop" allowBlank="true" showDropDown="false" showInputMessage="true" showErrorMessage="true" prompt="" sqref="BK4:BK30">
      <formula1/>
      <formula2/>
    </dataValidation>
    <dataValidation type="whole" errorStyle="stop" allowBlank="true" showDropDown="false" showInputMessage="true" showErrorMessage="true" prompt="" sqref="BL4:BL30">
      <formula1/>
      <formula2/>
    </dataValidation>
    <dataValidation type="whole" errorStyle="stop" allowBlank="true" showDropDown="false" showInputMessage="true" showErrorMessage="true" prompt="" sqref="BM4:BM30">
      <formula1/>
      <formula2/>
    </dataValidation>
    <dataValidation type="whole" errorStyle="stop" allowBlank="true" showDropDown="false" showInputMessage="true" showErrorMessage="true" prompt="" sqref="BN4:BN30">
      <formula1/>
      <formula2/>
    </dataValidation>
    <dataValidation type="whole" errorStyle="stop" allowBlank="true" showDropDown="false" showInputMessage="true" showErrorMessage="true" prompt="" sqref="BO4:BO30">
      <formula1/>
      <formula2/>
    </dataValidation>
    <dataValidation type="whole" errorStyle="stop" allowBlank="true" showDropDown="false" showInputMessage="true" showErrorMessage="true" prompt="" sqref="BP4:BP30">
      <formula1/>
      <formula2/>
    </dataValidation>
    <dataValidation type="whole" errorStyle="stop" allowBlank="true" showDropDown="false" showInputMessage="true" showErrorMessage="true" prompt="" sqref="BQ4:BQ30">
      <formula1/>
      <formula2/>
    </dataValidation>
    <dataValidation type="whole" errorStyle="stop" allowBlank="true" showDropDown="false" showInputMessage="true" showErrorMessage="true" prompt="" sqref="BR4:BR30">
      <formula1/>
      <formula2/>
    </dataValidation>
    <dataValidation type="whole" errorStyle="stop" allowBlank="true" showDropDown="false" showInputMessage="true" showErrorMessage="true" prompt="" sqref="BS4:BS30">
      <formula1/>
      <formula2/>
    </dataValidation>
    <dataValidation type="whole" errorStyle="stop" allowBlank="true" showDropDown="false" showInputMessage="true" showErrorMessage="true" prompt="" sqref="BT4:BT30">
      <formula1/>
      <formula2/>
    </dataValidation>
    <dataValidation type="whole" errorStyle="stop" allowBlank="true" showDropDown="false" showInputMessage="true" showErrorMessage="true" prompt="" sqref="BU4:BU30">
      <formula1/>
      <formula2/>
    </dataValidation>
    <dataValidation type="whole" errorStyle="stop" allowBlank="true" showDropDown="false" showInputMessage="true" showErrorMessage="true" prompt="" sqref="BV4:BV30">
      <formula1/>
      <formula2/>
    </dataValidation>
    <dataValidation type="whole" errorStyle="stop" allowBlank="true" showDropDown="false" showInputMessage="true" showErrorMessage="true" prompt="" sqref="BW4:BW30">
      <formula1/>
      <formula2/>
    </dataValidation>
    <dataValidation type="whole" errorStyle="stop" allowBlank="true" showDropDown="false" showInputMessage="true" showErrorMessage="true" prompt="" sqref="BX4:BX30">
      <formula1/>
      <formula2/>
    </dataValidation>
    <dataValidation type="whole" errorStyle="stop" allowBlank="true" showDropDown="false" showInputMessage="true" showErrorMessage="true" prompt="" sqref="BY4:BY30">
      <formula1/>
      <formula2/>
    </dataValidation>
    <dataValidation type="whole" errorStyle="stop" allowBlank="true" showDropDown="false" showInputMessage="true" showErrorMessage="true" prompt="" sqref="BZ4:BZ30">
      <formula1/>
      <formula2/>
    </dataValidation>
    <dataValidation type="whole" errorStyle="stop" allowBlank="true" showDropDown="false" showInputMessage="true" showErrorMessage="true" prompt="" sqref="CA4:CA30">
      <formula1/>
      <formula2/>
    </dataValidation>
    <dataValidation type="whole" errorStyle="stop" allowBlank="true" showDropDown="false" showInputMessage="true" showErrorMessage="true" prompt="" sqref="CB4:CB30">
      <formula1/>
      <formula2/>
    </dataValidation>
    <dataValidation type="whole" errorStyle="stop" allowBlank="true" showDropDown="false" showInputMessage="true" showErrorMessage="true" prompt="" sqref="CC4:CC30">
      <formula1/>
      <formula2/>
    </dataValidation>
    <dataValidation type="whole" errorStyle="stop" allowBlank="true" showDropDown="false" showInputMessage="true" showErrorMessage="true" prompt="" sqref="CD4:CD30">
      <formula1/>
      <formula2/>
    </dataValidation>
    <dataValidation type="whole" errorStyle="stop" allowBlank="true" showDropDown="false" showInputMessage="true" showErrorMessage="true" prompt="" sqref="CE4:CE30">
      <formula1/>
      <formula2/>
    </dataValidation>
    <dataValidation type="whole" errorStyle="stop" allowBlank="true" showDropDown="false" showInputMessage="true" showErrorMessage="true" prompt="" sqref="CF4:CF30">
      <formula1/>
      <formula2/>
    </dataValidation>
  </dataValidations>
</worksheet>
</file>

<file path=xl/worksheets/sheet8.xml><?xml version="1.0" encoding="utf-8"?>
<worksheet xmlns="http://schemas.openxmlformats.org/spreadsheetml/2006/main">
  <sheetPr codeName="Cooper">
    <tabColor rgb="FFFFFFFF"/>
  </sheetPr>
  <dimension ref="CF30"/>
  <sheetViews>
    <sheetView showGridLines="true" workbookViewId="0">
      <pane xSplit="4" ySplit="3" topLeftCell="E4" state="frozen"/>
    </sheetView>
  </sheetViews>
  <cols>
    <col min="1" max="1" width="9.71094" customWidth="true"/>
    <col min="2" max="2" width="18.7109" customWidth="true"/>
    <col min="3" max="3" width="17.7109" customWidth="true"/>
    <col min="4" max="4" width="12.7109" customWidth="true"/>
    <col min="5" max="5" width="25.7109" customWidth="true"/>
    <col min="6" max="6" width="20.7109" customWidth="true"/>
    <col min="7" max="7" width="20.7109" customWidth="true"/>
    <col min="8" max="8" width="21.7109" customWidth="true"/>
    <col min="9" max="9" width="24.7109" customWidth="true"/>
    <col min="10" max="10" width="14.7109" customWidth="true"/>
    <col min="11" max="11" width="15.7109" customWidth="true"/>
    <col min="12" max="12" width="10.7109" customWidth="true"/>
    <col min="13" max="13" width="26.7109" customWidth="true"/>
    <col min="14" max="14" width="22.7109" customWidth="true"/>
    <col min="15" max="15" width="21.7109" customWidth="true"/>
    <col min="16" max="16" width="22.7109" customWidth="true"/>
    <col min="17" max="17" width="25.7109" customWidth="true"/>
    <col min="18" max="18" width="15.7109" customWidth="true"/>
    <col min="19" max="19" width="16.7109" customWidth="true"/>
    <col min="20" max="20" width="10.7109" customWidth="true"/>
    <col min="21" max="21" width="27.7109" customWidth="true"/>
    <col min="22" max="22" width="22.7109" customWidth="true"/>
    <col min="23" max="23" width="22.7109" customWidth="true"/>
    <col min="24" max="24" width="23.7109" customWidth="true"/>
    <col min="25" max="25" width="26.7109" customWidth="true"/>
    <col min="26" max="26" width="16.7109" customWidth="true"/>
    <col min="27" max="27" width="17.7109" customWidth="true"/>
    <col min="28" max="28" width="10.7109" customWidth="true"/>
    <col min="29" max="29" width="27.7109" customWidth="true"/>
    <col min="30" max="30" width="22.7109" customWidth="true"/>
    <col min="31" max="31" width="22.7109" customWidth="true"/>
    <col min="32" max="32" width="23.7109" customWidth="true"/>
    <col min="33" max="33" width="26.7109" customWidth="true"/>
    <col min="34" max="34" width="16.7109" customWidth="true"/>
    <col min="35" max="35" width="17.7109" customWidth="true"/>
    <col min="36" max="36" width="10.7109" customWidth="true"/>
    <col min="37" max="37" width="27.7109" customWidth="true"/>
    <col min="38" max="38" width="22.7109" customWidth="true"/>
    <col min="39" max="39" width="22.7109" customWidth="true"/>
    <col min="40" max="40" width="23.7109" customWidth="true"/>
    <col min="41" max="41" width="26.7109" customWidth="true"/>
    <col min="42" max="42" width="16.7109" customWidth="true"/>
    <col min="43" max="43" width="17.7109" customWidth="true"/>
    <col min="44" max="44" width="10.7109" customWidth="true"/>
    <col min="45" max="45" width="27.7109" customWidth="true"/>
    <col min="46" max="46" width="22.7109" customWidth="true"/>
    <col min="47" max="47" width="22.7109" customWidth="true"/>
    <col min="48" max="48" width="23.7109" customWidth="true"/>
    <col min="49" max="49" width="26.7109" customWidth="true"/>
    <col min="50" max="50" width="16.7109" customWidth="true"/>
    <col min="51" max="51" width="17.7109" customWidth="true"/>
    <col min="52" max="52" width="10.7109" customWidth="true"/>
    <col min="53" max="53" width="27.7109" customWidth="true"/>
    <col min="54" max="54" width="22.7109" customWidth="true"/>
    <col min="55" max="55" width="22.7109" customWidth="true"/>
    <col min="56" max="56" width="23.7109" customWidth="true"/>
    <col min="57" max="57" width="26.7109" customWidth="true"/>
    <col min="58" max="58" width="16.7109" customWidth="true"/>
    <col min="59" max="59" width="17.7109" customWidth="true"/>
    <col min="60" max="60" width="10.7109" customWidth="true"/>
    <col min="61" max="61" width="27.7109" customWidth="true"/>
    <col min="62" max="62" width="22.7109" customWidth="true"/>
    <col min="63" max="63" width="22.7109" customWidth="true"/>
    <col min="64" max="64" width="23.7109" customWidth="true"/>
    <col min="65" max="65" width="26.7109" customWidth="true"/>
    <col min="66" max="66" width="16.7109" customWidth="true"/>
    <col min="67" max="67" width="17.7109" customWidth="true"/>
    <col min="68" max="68" width="10.7109" customWidth="true"/>
    <col min="69" max="69" width="27.7109" customWidth="true"/>
    <col min="70" max="70" width="22.7109" customWidth="true"/>
    <col min="71" max="71" width="22.7109" customWidth="true"/>
    <col min="72" max="72" width="23.7109" customWidth="true"/>
    <col min="73" max="73" width="26.7109" customWidth="true"/>
    <col min="74" max="74" width="16.7109" customWidth="true"/>
    <col min="75" max="75" width="17.7109" customWidth="true"/>
    <col min="76" max="76" width="10.7109" customWidth="true"/>
    <col min="77" max="77" width="27.7109" customWidth="true"/>
    <col min="78" max="78" width="22.7109" customWidth="true"/>
    <col min="79" max="79" width="22.7109" customWidth="true"/>
    <col min="80" max="80" width="23.7109" customWidth="true"/>
    <col min="81" max="81" width="26.7109" customWidth="true"/>
    <col min="82" max="82" width="16.7109" customWidth="true"/>
    <col min="83" max="83" width="17.7109" customWidth="true"/>
    <col min="84" max="84" width="10.7109" customWidth="true"/>
  </cols>
  <sheetData>
    <row r="1" spans="1:84">
      <c r="A1" s="3" t="s">
        <v>1</v>
      </c>
      <c r="B1" s="4" t="s">
        <v>1</v>
      </c>
      <c r="C1" s="4" t="s">
        <v>1</v>
      </c>
      <c r="D1" s="4" t="s">
        <v>1</v>
      </c>
      <c r="E1" s="5" t="s">
        <v>2</v>
      </c>
      <c r="F1" s="6" t="s"/>
      <c r="G1" s="6" t="s"/>
      <c r="H1" s="6" t="s"/>
      <c r="I1" s="6" t="s"/>
      <c r="J1" s="6" t="s"/>
      <c r="K1" s="6" t="s"/>
      <c r="L1" s="7" t="s">
        <v>1</v>
      </c>
      <c r="M1" s="5" t="s">
        <v>3</v>
      </c>
      <c r="N1" s="6" t="s"/>
      <c r="O1" s="6" t="s"/>
      <c r="P1" s="6" t="s"/>
      <c r="Q1" s="6" t="s"/>
      <c r="R1" s="6" t="s"/>
      <c r="S1" s="6" t="s"/>
      <c r="T1" s="7" t="s">
        <v>1</v>
      </c>
      <c r="U1" s="5" t="s">
        <v>4</v>
      </c>
      <c r="V1" s="6" t="s"/>
      <c r="W1" s="6" t="s"/>
      <c r="X1" s="6" t="s"/>
      <c r="Y1" s="6" t="s"/>
      <c r="Z1" s="6" t="s"/>
      <c r="AA1" s="6" t="s"/>
      <c r="AB1" s="7" t="s">
        <v>1</v>
      </c>
      <c r="AC1" s="5" t="s">
        <v>5</v>
      </c>
      <c r="AD1" s="6" t="s"/>
      <c r="AE1" s="6" t="s"/>
      <c r="AF1" s="6" t="s"/>
      <c r="AG1" s="6" t="s"/>
      <c r="AH1" s="6" t="s"/>
      <c r="AI1" s="6" t="s"/>
      <c r="AJ1" s="7" t="s">
        <v>1</v>
      </c>
      <c r="AK1" s="5" t="s">
        <v>6</v>
      </c>
      <c r="AL1" s="6" t="s"/>
      <c r="AM1" s="6" t="s"/>
      <c r="AN1" s="6" t="s"/>
      <c r="AO1" s="6" t="s"/>
      <c r="AP1" s="6" t="s"/>
      <c r="AQ1" s="6" t="s"/>
      <c r="AR1" s="7" t="s">
        <v>1</v>
      </c>
      <c r="AS1" s="5" t="s">
        <v>7</v>
      </c>
      <c r="AT1" s="6" t="s"/>
      <c r="AU1" s="6" t="s"/>
      <c r="AV1" s="6" t="s"/>
      <c r="AW1" s="6" t="s"/>
      <c r="AX1" s="6" t="s"/>
      <c r="AY1" s="6" t="s"/>
      <c r="AZ1" s="7" t="s">
        <v>1</v>
      </c>
      <c r="BA1" s="5" t="s">
        <v>8</v>
      </c>
      <c r="BB1" s="6" t="s"/>
      <c r="BC1" s="6" t="s"/>
      <c r="BD1" s="6" t="s"/>
      <c r="BE1" s="6" t="s"/>
      <c r="BF1" s="6" t="s"/>
      <c r="BG1" s="6" t="s"/>
      <c r="BH1" s="7" t="s">
        <v>1</v>
      </c>
      <c r="BI1" s="5" t="s">
        <v>9</v>
      </c>
      <c r="BJ1" s="6" t="s"/>
      <c r="BK1" s="6" t="s"/>
      <c r="BL1" s="6" t="s"/>
      <c r="BM1" s="6" t="s"/>
      <c r="BN1" s="6" t="s"/>
      <c r="BO1" s="6" t="s"/>
      <c r="BP1" s="7" t="s">
        <v>1</v>
      </c>
      <c r="BQ1" s="5" t="s">
        <v>10</v>
      </c>
      <c r="BR1" s="6" t="s"/>
      <c r="BS1" s="6" t="s"/>
      <c r="BT1" s="6" t="s"/>
      <c r="BU1" s="6" t="s"/>
      <c r="BV1" s="6" t="s"/>
      <c r="BW1" s="6" t="s"/>
      <c r="BX1" s="7" t="s">
        <v>1</v>
      </c>
      <c r="BY1" s="5" t="s">
        <v>11</v>
      </c>
      <c r="BZ1" s="6" t="s"/>
      <c r="CA1" s="6" t="s"/>
      <c r="CB1" s="6" t="s"/>
      <c r="CC1" s="6" t="s"/>
      <c r="CD1" s="6" t="s"/>
      <c r="CE1" s="6" t="s"/>
      <c r="CF1" s="8" t="s">
        <v>1</v>
      </c>
    </row>
    <row r="2" spans="1:84" ht="15" customHeight="true">
      <c r="A2" s="9" t="s">
        <v>1</v>
      </c>
      <c r="B2" s="10" t="s">
        <v>1</v>
      </c>
      <c r="C2" s="10" t="s">
        <v>1</v>
      </c>
      <c r="D2" s="11" t="s">
        <v>1</v>
      </c>
      <c r="E2" s="12" t="s">
        <v>12</v>
      </c>
      <c r="F2" s="6" t="s"/>
      <c r="G2" s="6" t="s"/>
      <c r="H2" s="6" t="s"/>
      <c r="I2" s="13" t="s">
        <v>13</v>
      </c>
      <c r="J2" s="6" t="s"/>
      <c r="K2" s="6" t="s"/>
      <c r="L2" s="10" t="s">
        <v>1</v>
      </c>
      <c r="M2" s="12" t="s">
        <v>12</v>
      </c>
      <c r="N2" s="6" t="s"/>
      <c r="O2" s="6" t="s"/>
      <c r="P2" s="6" t="s"/>
      <c r="Q2" s="13" t="s">
        <v>13</v>
      </c>
      <c r="R2" s="6" t="s"/>
      <c r="S2" s="6" t="s"/>
      <c r="T2" s="10" t="s">
        <v>1</v>
      </c>
      <c r="U2" s="12" t="s">
        <v>12</v>
      </c>
      <c r="V2" s="6" t="s"/>
      <c r="W2" s="6" t="s"/>
      <c r="X2" s="6" t="s"/>
      <c r="Y2" s="13" t="s">
        <v>13</v>
      </c>
      <c r="Z2" s="6" t="s"/>
      <c r="AA2" s="6" t="s"/>
      <c r="AB2" s="10" t="s">
        <v>1</v>
      </c>
      <c r="AC2" s="12" t="s">
        <v>12</v>
      </c>
      <c r="AD2" s="6" t="s"/>
      <c r="AE2" s="6" t="s"/>
      <c r="AF2" s="6" t="s"/>
      <c r="AG2" s="13" t="s">
        <v>13</v>
      </c>
      <c r="AH2" s="6" t="s"/>
      <c r="AI2" s="6" t="s"/>
      <c r="AJ2" s="10" t="s">
        <v>1</v>
      </c>
      <c r="AK2" s="12" t="s">
        <v>12</v>
      </c>
      <c r="AL2" s="6" t="s"/>
      <c r="AM2" s="6" t="s"/>
      <c r="AN2" s="6" t="s"/>
      <c r="AO2" s="13" t="s">
        <v>13</v>
      </c>
      <c r="AP2" s="6" t="s"/>
      <c r="AQ2" s="6" t="s"/>
      <c r="AR2" s="10" t="s">
        <v>1</v>
      </c>
      <c r="AS2" s="12" t="s">
        <v>12</v>
      </c>
      <c r="AT2" s="6" t="s"/>
      <c r="AU2" s="6" t="s"/>
      <c r="AV2" s="6" t="s"/>
      <c r="AW2" s="13" t="s">
        <v>13</v>
      </c>
      <c r="AX2" s="6" t="s"/>
      <c r="AY2" s="6" t="s"/>
      <c r="AZ2" s="10" t="s">
        <v>1</v>
      </c>
      <c r="BA2" s="12" t="s">
        <v>12</v>
      </c>
      <c r="BB2" s="6" t="s"/>
      <c r="BC2" s="6" t="s"/>
      <c r="BD2" s="6" t="s"/>
      <c r="BE2" s="13" t="s">
        <v>13</v>
      </c>
      <c r="BF2" s="6" t="s"/>
      <c r="BG2" s="6" t="s"/>
      <c r="BH2" s="10" t="s">
        <v>1</v>
      </c>
      <c r="BI2" s="12" t="s">
        <v>12</v>
      </c>
      <c r="BJ2" s="6" t="s"/>
      <c r="BK2" s="6" t="s"/>
      <c r="BL2" s="6" t="s"/>
      <c r="BM2" s="13" t="s">
        <v>13</v>
      </c>
      <c r="BN2" s="6" t="s"/>
      <c r="BO2" s="6" t="s"/>
      <c r="BP2" s="10" t="s">
        <v>1</v>
      </c>
      <c r="BQ2" s="12" t="s">
        <v>12</v>
      </c>
      <c r="BR2" s="6" t="s"/>
      <c r="BS2" s="6" t="s"/>
      <c r="BT2" s="6" t="s"/>
      <c r="BU2" s="13" t="s">
        <v>13</v>
      </c>
      <c r="BV2" s="6" t="s"/>
      <c r="BW2" s="6" t="s"/>
      <c r="BX2" s="10" t="s">
        <v>1</v>
      </c>
      <c r="BY2" s="12" t="s">
        <v>12</v>
      </c>
      <c r="BZ2" s="6" t="s"/>
      <c r="CA2" s="6" t="s"/>
      <c r="CB2" s="6" t="s"/>
      <c r="CC2" s="13" t="s">
        <v>13</v>
      </c>
      <c r="CD2" s="6" t="s"/>
      <c r="CE2" s="6" t="s"/>
      <c r="CF2" s="10" t="s">
        <v>1</v>
      </c>
    </row>
    <row r="3" spans="1:84" ht="48.75" customHeight="true">
      <c r="A3" s="14" t="s">
        <v>155</v>
      </c>
      <c r="B3" s="14" t="s">
        <v>156</v>
      </c>
      <c r="C3" s="14" t="s">
        <v>157</v>
      </c>
      <c r="D3" s="15" t="s">
        <v>14</v>
      </c>
      <c r="E3" s="16" t="s">
        <v>15</v>
      </c>
      <c r="F3" s="16" t="s">
        <v>16</v>
      </c>
      <c r="G3" s="16" t="s">
        <v>17</v>
      </c>
      <c r="H3" s="16" t="s">
        <v>18</v>
      </c>
      <c r="I3" s="16" t="s">
        <v>19</v>
      </c>
      <c r="J3" s="16" t="s">
        <v>20</v>
      </c>
      <c r="K3" s="16" t="s">
        <v>21</v>
      </c>
      <c r="L3" s="17" t="s">
        <v>22</v>
      </c>
      <c r="M3" s="16" t="s">
        <v>23</v>
      </c>
      <c r="N3" s="16" t="s">
        <v>24</v>
      </c>
      <c r="O3" s="16" t="s">
        <v>25</v>
      </c>
      <c r="P3" s="16" t="s">
        <v>26</v>
      </c>
      <c r="Q3" s="16" t="s">
        <v>27</v>
      </c>
      <c r="R3" s="16" t="s">
        <v>28</v>
      </c>
      <c r="S3" s="16" t="s">
        <v>29</v>
      </c>
      <c r="T3" s="17" t="s">
        <v>30</v>
      </c>
      <c r="U3" s="16" t="s">
        <v>31</v>
      </c>
      <c r="V3" s="16" t="s">
        <v>32</v>
      </c>
      <c r="W3" s="16" t="s">
        <v>33</v>
      </c>
      <c r="X3" s="16" t="s">
        <v>34</v>
      </c>
      <c r="Y3" s="16" t="s">
        <v>35</v>
      </c>
      <c r="Z3" s="16" t="s">
        <v>36</v>
      </c>
      <c r="AA3" s="16" t="s">
        <v>37</v>
      </c>
      <c r="AB3" s="17" t="s">
        <v>38</v>
      </c>
      <c r="AC3" s="16" t="s">
        <v>39</v>
      </c>
      <c r="AD3" s="16" t="s">
        <v>40</v>
      </c>
      <c r="AE3" s="16" t="s">
        <v>41</v>
      </c>
      <c r="AF3" s="16" t="s">
        <v>42</v>
      </c>
      <c r="AG3" s="16" t="s">
        <v>43</v>
      </c>
      <c r="AH3" s="16" t="s">
        <v>44</v>
      </c>
      <c r="AI3" s="16" t="s">
        <v>45</v>
      </c>
      <c r="AJ3" s="17" t="s">
        <v>46</v>
      </c>
      <c r="AK3" s="16" t="s">
        <v>47</v>
      </c>
      <c r="AL3" s="16" t="s">
        <v>48</v>
      </c>
      <c r="AM3" s="16" t="s">
        <v>49</v>
      </c>
      <c r="AN3" s="16" t="s">
        <v>50</v>
      </c>
      <c r="AO3" s="16" t="s">
        <v>51</v>
      </c>
      <c r="AP3" s="16" t="s">
        <v>52</v>
      </c>
      <c r="AQ3" s="16" t="s">
        <v>53</v>
      </c>
      <c r="AR3" s="17" t="s">
        <v>54</v>
      </c>
      <c r="AS3" s="16" t="s">
        <v>55</v>
      </c>
      <c r="AT3" s="16" t="s">
        <v>56</v>
      </c>
      <c r="AU3" s="16" t="s">
        <v>57</v>
      </c>
      <c r="AV3" s="16" t="s">
        <v>58</v>
      </c>
      <c r="AW3" s="16" t="s">
        <v>59</v>
      </c>
      <c r="AX3" s="16" t="s">
        <v>60</v>
      </c>
      <c r="AY3" s="16" t="s">
        <v>61</v>
      </c>
      <c r="AZ3" s="17" t="s">
        <v>62</v>
      </c>
      <c r="BA3" s="16" t="s">
        <v>63</v>
      </c>
      <c r="BB3" s="16" t="s">
        <v>64</v>
      </c>
      <c r="BC3" s="16" t="s">
        <v>65</v>
      </c>
      <c r="BD3" s="16" t="s">
        <v>66</v>
      </c>
      <c r="BE3" s="16" t="s">
        <v>67</v>
      </c>
      <c r="BF3" s="16" t="s">
        <v>68</v>
      </c>
      <c r="BG3" s="16" t="s">
        <v>69</v>
      </c>
      <c r="BH3" s="17" t="s">
        <v>70</v>
      </c>
      <c r="BI3" s="16" t="s">
        <v>71</v>
      </c>
      <c r="BJ3" s="16" t="s">
        <v>72</v>
      </c>
      <c r="BK3" s="16" t="s">
        <v>73</v>
      </c>
      <c r="BL3" s="16" t="s">
        <v>74</v>
      </c>
      <c r="BM3" s="16" t="s">
        <v>75</v>
      </c>
      <c r="BN3" s="16" t="s">
        <v>76</v>
      </c>
      <c r="BO3" s="16" t="s">
        <v>77</v>
      </c>
      <c r="BP3" s="17" t="s">
        <v>78</v>
      </c>
      <c r="BQ3" s="16" t="s">
        <v>79</v>
      </c>
      <c r="BR3" s="16" t="s">
        <v>80</v>
      </c>
      <c r="BS3" s="16" t="s">
        <v>81</v>
      </c>
      <c r="BT3" s="16" t="s">
        <v>82</v>
      </c>
      <c r="BU3" s="16" t="s">
        <v>83</v>
      </c>
      <c r="BV3" s="16" t="s">
        <v>84</v>
      </c>
      <c r="BW3" s="16" t="s">
        <v>85</v>
      </c>
      <c r="BX3" s="17" t="s">
        <v>86</v>
      </c>
      <c r="BY3" s="16" t="s">
        <v>87</v>
      </c>
      <c r="BZ3" s="16" t="s">
        <v>88</v>
      </c>
      <c r="CA3" s="16" t="s">
        <v>89</v>
      </c>
      <c r="CB3" s="16" t="s">
        <v>90</v>
      </c>
      <c r="CC3" s="16" t="s">
        <v>91</v>
      </c>
      <c r="CD3" s="16" t="s">
        <v>92</v>
      </c>
      <c r="CE3" s="16" t="s">
        <v>93</v>
      </c>
      <c r="CF3" s="18" t="s">
        <v>94</v>
      </c>
    </row>
    <row r="4" spans="1:84">
      <c r="A4" s="19">
        <v>1</v>
      </c>
      <c r="B4" s="20" t="s">
        <v>158</v>
      </c>
      <c r="C4" s="20" t="s">
        <v>95</v>
      </c>
      <c r="D4" s="20" t="s">
        <v>96</v>
      </c>
      <c r="E4" s="21">
        <v>5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2">
        <v>0</v>
      </c>
      <c r="M4" s="21">
        <v>10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2">
        <v>0</v>
      </c>
      <c r="U4" s="21">
        <v>10</v>
      </c>
      <c r="V4" s="21">
        <v>0</v>
      </c>
      <c r="W4" s="21">
        <v>0</v>
      </c>
      <c r="X4" s="21">
        <v>0</v>
      </c>
      <c r="Y4" s="21">
        <v>5</v>
      </c>
      <c r="Z4" s="21">
        <v>0</v>
      </c>
      <c r="AA4" s="21">
        <v>0</v>
      </c>
      <c r="AB4" s="22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2">
        <v>0</v>
      </c>
      <c r="AK4" s="21">
        <v>10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2">
        <v>0</v>
      </c>
      <c r="AS4" s="21">
        <v>0</v>
      </c>
      <c r="AT4" s="21">
        <v>0</v>
      </c>
      <c r="AU4" s="21">
        <v>0</v>
      </c>
      <c r="AV4" s="21">
        <v>0</v>
      </c>
      <c r="AW4" s="21">
        <v>0</v>
      </c>
      <c r="AX4" s="21">
        <v>0</v>
      </c>
      <c r="AY4" s="21">
        <v>0</v>
      </c>
      <c r="AZ4" s="22">
        <v>0</v>
      </c>
      <c r="BA4" s="21">
        <v>0</v>
      </c>
      <c r="BB4" s="21">
        <v>0</v>
      </c>
      <c r="BC4" s="21">
        <v>0</v>
      </c>
      <c r="BD4" s="21">
        <v>0</v>
      </c>
      <c r="BE4" s="21">
        <v>0</v>
      </c>
      <c r="BF4" s="21">
        <v>0</v>
      </c>
      <c r="BG4" s="21">
        <v>0</v>
      </c>
      <c r="BH4" s="22">
        <v>0</v>
      </c>
      <c r="BI4" s="21">
        <v>0</v>
      </c>
      <c r="BJ4" s="21">
        <v>0</v>
      </c>
      <c r="BK4" s="21">
        <v>0</v>
      </c>
      <c r="BL4" s="21">
        <v>0</v>
      </c>
      <c r="BM4" s="21">
        <v>0</v>
      </c>
      <c r="BN4" s="21">
        <v>0</v>
      </c>
      <c r="BO4" s="21">
        <v>0</v>
      </c>
      <c r="BP4" s="22">
        <v>0</v>
      </c>
      <c r="BQ4" s="21">
        <v>0</v>
      </c>
      <c r="BR4" s="21">
        <v>0</v>
      </c>
      <c r="BS4" s="21">
        <v>0</v>
      </c>
      <c r="BT4" s="21">
        <v>0</v>
      </c>
      <c r="BU4" s="21">
        <v>0</v>
      </c>
      <c r="BV4" s="21">
        <v>0</v>
      </c>
      <c r="BW4" s="21">
        <v>0</v>
      </c>
      <c r="BX4" s="22">
        <v>0</v>
      </c>
      <c r="BY4" s="21">
        <v>0</v>
      </c>
      <c r="BZ4" s="21">
        <v>0</v>
      </c>
      <c r="CA4" s="21">
        <v>0</v>
      </c>
      <c r="CB4" s="21">
        <v>0</v>
      </c>
      <c r="CC4" s="21">
        <v>0</v>
      </c>
      <c r="CD4" s="21">
        <v>0</v>
      </c>
      <c r="CE4" s="21">
        <v>0</v>
      </c>
      <c r="CF4" s="22">
        <v>0</v>
      </c>
    </row>
    <row r="5" spans="1:84">
      <c r="A5" s="19">
        <v>2</v>
      </c>
      <c r="B5" s="20" t="s">
        <v>159</v>
      </c>
      <c r="C5" s="20" t="s">
        <v>95</v>
      </c>
      <c r="D5" s="20" t="s">
        <v>96</v>
      </c>
      <c r="E5" s="21">
        <v>5</v>
      </c>
      <c r="F5" s="21">
        <v>0</v>
      </c>
      <c r="G5" s="21">
        <v>0</v>
      </c>
      <c r="H5" s="21">
        <v>0</v>
      </c>
      <c r="I5" s="21">
        <v>5</v>
      </c>
      <c r="J5" s="21">
        <v>0</v>
      </c>
      <c r="K5" s="21">
        <v>0</v>
      </c>
      <c r="L5" s="22">
        <v>0</v>
      </c>
      <c r="M5" s="21">
        <v>10</v>
      </c>
      <c r="N5" s="21">
        <v>0</v>
      </c>
      <c r="O5" s="21">
        <v>0</v>
      </c>
      <c r="P5" s="21">
        <v>0</v>
      </c>
      <c r="Q5" s="21">
        <v>20</v>
      </c>
      <c r="R5" s="21">
        <v>0</v>
      </c>
      <c r="S5" s="21">
        <v>0</v>
      </c>
      <c r="T5" s="22">
        <v>0</v>
      </c>
      <c r="U5" s="21">
        <v>10</v>
      </c>
      <c r="V5" s="21">
        <v>0</v>
      </c>
      <c r="W5" s="21">
        <v>0</v>
      </c>
      <c r="X5" s="21">
        <v>0</v>
      </c>
      <c r="Y5" s="21">
        <v>5</v>
      </c>
      <c r="Z5" s="21">
        <v>0</v>
      </c>
      <c r="AA5" s="21">
        <v>0</v>
      </c>
      <c r="AB5" s="22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10</v>
      </c>
      <c r="AI5" s="21">
        <v>0</v>
      </c>
      <c r="AJ5" s="22">
        <v>0</v>
      </c>
      <c r="AK5" s="21">
        <v>10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2">
        <v>0</v>
      </c>
      <c r="AS5" s="21">
        <v>0</v>
      </c>
      <c r="AT5" s="21">
        <v>0</v>
      </c>
      <c r="AU5" s="21">
        <v>0</v>
      </c>
      <c r="AV5" s="21">
        <v>0</v>
      </c>
      <c r="AW5" s="21">
        <v>0</v>
      </c>
      <c r="AX5" s="21">
        <v>0</v>
      </c>
      <c r="AY5" s="21">
        <v>0</v>
      </c>
      <c r="AZ5" s="22">
        <v>0</v>
      </c>
      <c r="BA5" s="21">
        <v>0</v>
      </c>
      <c r="BB5" s="21">
        <v>0</v>
      </c>
      <c r="BC5" s="21">
        <v>0</v>
      </c>
      <c r="BD5" s="21">
        <v>0</v>
      </c>
      <c r="BE5" s="21">
        <v>0</v>
      </c>
      <c r="BF5" s="21">
        <v>0</v>
      </c>
      <c r="BG5" s="21">
        <v>0</v>
      </c>
      <c r="BH5" s="22">
        <v>0</v>
      </c>
      <c r="BI5" s="21">
        <v>0</v>
      </c>
      <c r="BJ5" s="21">
        <v>0</v>
      </c>
      <c r="BK5" s="21">
        <v>0</v>
      </c>
      <c r="BL5" s="21">
        <v>0</v>
      </c>
      <c r="BM5" s="21">
        <v>0</v>
      </c>
      <c r="BN5" s="21">
        <v>0</v>
      </c>
      <c r="BO5" s="21">
        <v>0</v>
      </c>
      <c r="BP5" s="22">
        <v>0</v>
      </c>
      <c r="BQ5" s="21">
        <v>0</v>
      </c>
      <c r="BR5" s="21">
        <v>0</v>
      </c>
      <c r="BS5" s="21">
        <v>0</v>
      </c>
      <c r="BT5" s="21">
        <v>0</v>
      </c>
      <c r="BU5" s="21">
        <v>0</v>
      </c>
      <c r="BV5" s="21">
        <v>0</v>
      </c>
      <c r="BW5" s="21">
        <v>0</v>
      </c>
      <c r="BX5" s="22">
        <v>0</v>
      </c>
      <c r="BY5" s="21">
        <v>0</v>
      </c>
      <c r="BZ5" s="21">
        <v>0</v>
      </c>
      <c r="CA5" s="21">
        <v>0</v>
      </c>
      <c r="CB5" s="21">
        <v>0</v>
      </c>
      <c r="CC5" s="21">
        <v>0</v>
      </c>
      <c r="CD5" s="21">
        <v>0</v>
      </c>
      <c r="CE5" s="21">
        <v>0</v>
      </c>
      <c r="CF5" s="22">
        <v>0</v>
      </c>
    </row>
    <row r="6" spans="1:84">
      <c r="A6" s="19">
        <v>3</v>
      </c>
      <c r="B6" s="46" t="s">
        <v>189</v>
      </c>
      <c r="C6" s="20" t="s">
        <v>97</v>
      </c>
      <c r="D6" s="20" t="s">
        <v>96</v>
      </c>
      <c r="E6" s="21">
        <v>5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2">
        <v>0</v>
      </c>
      <c r="M6" s="21">
        <v>10</v>
      </c>
      <c r="N6" s="21">
        <v>10</v>
      </c>
      <c r="O6" s="21">
        <v>0</v>
      </c>
      <c r="P6" s="21">
        <v>0</v>
      </c>
      <c r="Q6" s="21">
        <v>10</v>
      </c>
      <c r="R6" s="21">
        <v>0</v>
      </c>
      <c r="S6" s="21">
        <v>0</v>
      </c>
      <c r="T6" s="22">
        <v>0</v>
      </c>
      <c r="U6" s="21">
        <v>10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2">
        <v>0</v>
      </c>
      <c r="AC6" s="21">
        <v>0</v>
      </c>
      <c r="AD6" s="21">
        <v>0</v>
      </c>
      <c r="AE6" s="21">
        <v>0</v>
      </c>
      <c r="AF6" s="21">
        <v>0</v>
      </c>
      <c r="AG6" s="21">
        <v>10</v>
      </c>
      <c r="AH6" s="21">
        <v>0</v>
      </c>
      <c r="AI6" s="21">
        <v>0</v>
      </c>
      <c r="AJ6" s="22">
        <v>0</v>
      </c>
      <c r="AK6" s="21">
        <v>10</v>
      </c>
      <c r="AL6" s="21">
        <v>0</v>
      </c>
      <c r="AM6" s="21">
        <v>0</v>
      </c>
      <c r="AN6" s="21">
        <v>0</v>
      </c>
      <c r="AO6" s="21">
        <v>10</v>
      </c>
      <c r="AP6" s="21">
        <v>0</v>
      </c>
      <c r="AQ6" s="21">
        <v>0</v>
      </c>
      <c r="AR6" s="22">
        <v>0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2">
        <v>0</v>
      </c>
      <c r="BA6" s="21">
        <v>0</v>
      </c>
      <c r="BB6" s="21">
        <v>0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H6" s="22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  <c r="BP6" s="22">
        <v>0</v>
      </c>
      <c r="BQ6" s="21">
        <v>0</v>
      </c>
      <c r="BR6" s="21">
        <v>0</v>
      </c>
      <c r="BS6" s="21">
        <v>0</v>
      </c>
      <c r="BT6" s="21">
        <v>0</v>
      </c>
      <c r="BU6" s="21">
        <v>0</v>
      </c>
      <c r="BV6" s="21">
        <v>0</v>
      </c>
      <c r="BW6" s="21">
        <v>0</v>
      </c>
      <c r="BX6" s="22">
        <v>0</v>
      </c>
      <c r="BY6" s="21">
        <v>0</v>
      </c>
      <c r="BZ6" s="21">
        <v>0</v>
      </c>
      <c r="CA6" s="21">
        <v>0</v>
      </c>
      <c r="CB6" s="21">
        <v>0</v>
      </c>
      <c r="CC6" s="21">
        <v>0</v>
      </c>
      <c r="CD6" s="21">
        <v>0</v>
      </c>
      <c r="CE6" s="21">
        <v>0</v>
      </c>
      <c r="CF6" s="22">
        <v>0</v>
      </c>
    </row>
    <row r="7" spans="1:84">
      <c r="A7" s="19">
        <v>4</v>
      </c>
      <c r="B7" s="46" t="s">
        <v>190</v>
      </c>
      <c r="C7" s="20" t="s">
        <v>97</v>
      </c>
      <c r="D7" s="20" t="s">
        <v>96</v>
      </c>
      <c r="E7" s="21">
        <v>5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2">
        <v>0</v>
      </c>
      <c r="M7" s="21">
        <v>10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2">
        <v>0</v>
      </c>
      <c r="U7" s="21">
        <v>10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2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2">
        <v>0</v>
      </c>
      <c r="AK7" s="21">
        <v>10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2">
        <v>0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>
        <v>0</v>
      </c>
      <c r="AY7" s="21">
        <v>0</v>
      </c>
      <c r="AZ7" s="22">
        <v>0</v>
      </c>
      <c r="BA7" s="21">
        <v>0</v>
      </c>
      <c r="BB7" s="21">
        <v>0</v>
      </c>
      <c r="BC7" s="21">
        <v>0</v>
      </c>
      <c r="BD7" s="21">
        <v>0</v>
      </c>
      <c r="BE7" s="21">
        <v>0</v>
      </c>
      <c r="BF7" s="21">
        <v>0</v>
      </c>
      <c r="BG7" s="21">
        <v>0</v>
      </c>
      <c r="BH7" s="22">
        <v>0</v>
      </c>
      <c r="BI7" s="21">
        <v>0</v>
      </c>
      <c r="BJ7" s="21">
        <v>0</v>
      </c>
      <c r="BK7" s="21">
        <v>0</v>
      </c>
      <c r="BL7" s="21">
        <v>0</v>
      </c>
      <c r="BM7" s="21">
        <v>0</v>
      </c>
      <c r="BN7" s="21">
        <v>0</v>
      </c>
      <c r="BO7" s="21">
        <v>0</v>
      </c>
      <c r="BP7" s="22">
        <v>0</v>
      </c>
      <c r="BQ7" s="21">
        <v>0</v>
      </c>
      <c r="BR7" s="21">
        <v>0</v>
      </c>
      <c r="BS7" s="21">
        <v>0</v>
      </c>
      <c r="BT7" s="21">
        <v>0</v>
      </c>
      <c r="BU7" s="21">
        <v>0</v>
      </c>
      <c r="BV7" s="21">
        <v>0</v>
      </c>
      <c r="BW7" s="21">
        <v>0</v>
      </c>
      <c r="BX7" s="22">
        <v>0</v>
      </c>
      <c r="BY7" s="21">
        <v>0</v>
      </c>
      <c r="BZ7" s="21">
        <v>0</v>
      </c>
      <c r="CA7" s="21">
        <v>0</v>
      </c>
      <c r="CB7" s="21">
        <v>0</v>
      </c>
      <c r="CC7" s="21">
        <v>0</v>
      </c>
      <c r="CD7" s="21">
        <v>0</v>
      </c>
      <c r="CE7" s="21">
        <v>0</v>
      </c>
      <c r="CF7" s="22">
        <v>0</v>
      </c>
    </row>
    <row r="8" spans="1:84">
      <c r="A8" s="23">
        <v>5</v>
      </c>
      <c r="B8" s="47" t="s">
        <v>191</v>
      </c>
      <c r="C8" s="24" t="s">
        <v>97</v>
      </c>
      <c r="D8" s="24" t="s">
        <v>98</v>
      </c>
      <c r="E8" s="21">
        <v>5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2">
        <v>0</v>
      </c>
      <c r="M8" s="21">
        <v>10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10</v>
      </c>
      <c r="T8" s="22">
        <v>0</v>
      </c>
      <c r="U8" s="21">
        <v>10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2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10</v>
      </c>
      <c r="AI8" s="21">
        <v>0</v>
      </c>
      <c r="AJ8" s="22">
        <v>0</v>
      </c>
      <c r="AK8" s="21">
        <v>10</v>
      </c>
      <c r="AL8" s="21">
        <v>0</v>
      </c>
      <c r="AM8" s="21">
        <v>0</v>
      </c>
      <c r="AN8" s="21">
        <v>0</v>
      </c>
      <c r="AO8" s="21">
        <v>10</v>
      </c>
      <c r="AP8" s="21">
        <v>0</v>
      </c>
      <c r="AQ8" s="21">
        <v>0</v>
      </c>
      <c r="AR8" s="22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2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2">
        <v>0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  <c r="BO8" s="21">
        <v>0</v>
      </c>
      <c r="BP8" s="22">
        <v>0</v>
      </c>
      <c r="BQ8" s="21">
        <v>0</v>
      </c>
      <c r="BR8" s="21">
        <v>0</v>
      </c>
      <c r="BS8" s="21">
        <v>0</v>
      </c>
      <c r="BT8" s="21">
        <v>0</v>
      </c>
      <c r="BU8" s="21">
        <v>0</v>
      </c>
      <c r="BV8" s="21">
        <v>0</v>
      </c>
      <c r="BW8" s="21">
        <v>0</v>
      </c>
      <c r="BX8" s="22">
        <v>0</v>
      </c>
      <c r="BY8" s="21">
        <v>0</v>
      </c>
      <c r="BZ8" s="21">
        <v>0</v>
      </c>
      <c r="CA8" s="21">
        <v>0</v>
      </c>
      <c r="CB8" s="21">
        <v>0</v>
      </c>
      <c r="CC8" s="21">
        <v>0</v>
      </c>
      <c r="CD8" s="21">
        <v>0</v>
      </c>
      <c r="CE8" s="21">
        <v>0</v>
      </c>
      <c r="CF8" s="22">
        <v>0</v>
      </c>
    </row>
    <row r="9" spans="1:84">
      <c r="A9" s="23">
        <v>6</v>
      </c>
      <c r="B9" s="47" t="s">
        <v>192</v>
      </c>
      <c r="C9" s="24" t="s">
        <v>97</v>
      </c>
      <c r="D9" s="24" t="s">
        <v>98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2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2">
        <v>0</v>
      </c>
      <c r="U9" s="21">
        <v>0</v>
      </c>
      <c r="V9" s="21">
        <v>0</v>
      </c>
      <c r="W9" s="21">
        <v>0</v>
      </c>
      <c r="X9" s="21">
        <v>0</v>
      </c>
      <c r="Y9" s="21">
        <v>5</v>
      </c>
      <c r="Z9" s="21">
        <v>0</v>
      </c>
      <c r="AA9" s="21">
        <v>0</v>
      </c>
      <c r="AB9" s="22">
        <v>0</v>
      </c>
      <c r="AC9" s="21" t="s"/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2">
        <v>0</v>
      </c>
      <c r="AK9" s="21" t="s"/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2">
        <v>0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1">
        <v>0</v>
      </c>
      <c r="AZ9" s="22">
        <v>0</v>
      </c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F9" s="21">
        <v>0</v>
      </c>
      <c r="BG9" s="21">
        <v>0</v>
      </c>
      <c r="BH9" s="22">
        <v>0</v>
      </c>
      <c r="BI9" s="21">
        <v>0</v>
      </c>
      <c r="BJ9" s="21">
        <v>0</v>
      </c>
      <c r="BK9" s="21">
        <v>0</v>
      </c>
      <c r="BL9" s="21">
        <v>0</v>
      </c>
      <c r="BM9" s="21">
        <v>0</v>
      </c>
      <c r="BN9" s="21">
        <v>0</v>
      </c>
      <c r="BO9" s="21">
        <v>0</v>
      </c>
      <c r="BP9" s="22">
        <v>0</v>
      </c>
      <c r="BQ9" s="21">
        <v>0</v>
      </c>
      <c r="BR9" s="21">
        <v>0</v>
      </c>
      <c r="BS9" s="21">
        <v>0</v>
      </c>
      <c r="BT9" s="21">
        <v>0</v>
      </c>
      <c r="BU9" s="21">
        <v>0</v>
      </c>
      <c r="BV9" s="21">
        <v>0</v>
      </c>
      <c r="BW9" s="21">
        <v>0</v>
      </c>
      <c r="BX9" s="22">
        <v>0</v>
      </c>
      <c r="BY9" s="21">
        <v>0</v>
      </c>
      <c r="BZ9" s="21">
        <v>0</v>
      </c>
      <c r="CA9" s="21">
        <v>0</v>
      </c>
      <c r="CB9" s="21">
        <v>0</v>
      </c>
      <c r="CC9" s="21">
        <v>0</v>
      </c>
      <c r="CD9" s="21">
        <v>0</v>
      </c>
      <c r="CE9" s="21">
        <v>0</v>
      </c>
      <c r="CF9" s="22">
        <v>0</v>
      </c>
    </row>
    <row r="10" spans="1:84">
      <c r="A10" s="23">
        <v>7</v>
      </c>
      <c r="B10" s="47" t="s">
        <v>193</v>
      </c>
      <c r="C10" s="24" t="s">
        <v>99</v>
      </c>
      <c r="D10" s="24" t="s">
        <v>98</v>
      </c>
      <c r="E10" s="21">
        <v>5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2">
        <v>0</v>
      </c>
      <c r="M10" s="21">
        <v>10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2">
        <v>0</v>
      </c>
      <c r="U10" s="21">
        <v>10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2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2">
        <v>0</v>
      </c>
      <c r="AK10" s="21">
        <v>10</v>
      </c>
      <c r="AL10" s="21">
        <v>0</v>
      </c>
      <c r="AM10" s="21">
        <v>0</v>
      </c>
      <c r="AN10" s="21">
        <v>0</v>
      </c>
      <c r="AO10" s="21">
        <v>10</v>
      </c>
      <c r="AP10" s="21">
        <v>0</v>
      </c>
      <c r="AQ10" s="21">
        <v>0</v>
      </c>
      <c r="AR10" s="22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2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2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  <c r="BO10" s="21">
        <v>0</v>
      </c>
      <c r="BP10" s="22">
        <v>0</v>
      </c>
      <c r="BQ10" s="21">
        <v>0</v>
      </c>
      <c r="BR10" s="21">
        <v>0</v>
      </c>
      <c r="BS10" s="21">
        <v>0</v>
      </c>
      <c r="BT10" s="21">
        <v>0</v>
      </c>
      <c r="BU10" s="21">
        <v>0</v>
      </c>
      <c r="BV10" s="21">
        <v>0</v>
      </c>
      <c r="BW10" s="21">
        <v>0</v>
      </c>
      <c r="BX10" s="22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2">
        <v>0</v>
      </c>
    </row>
    <row r="11" spans="1:84">
      <c r="A11" s="25">
        <v>8</v>
      </c>
      <c r="B11" s="48" t="s">
        <v>194</v>
      </c>
      <c r="C11" s="26" t="s">
        <v>99</v>
      </c>
      <c r="D11" s="26" t="s">
        <v>100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2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2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2">
        <v>0</v>
      </c>
      <c r="AC11" s="21">
        <v>10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2">
        <v>0</v>
      </c>
      <c r="AK11" s="21">
        <v>10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2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2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2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2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2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2">
        <v>0</v>
      </c>
    </row>
    <row r="12" spans="1:84">
      <c r="A12" s="25">
        <v>9</v>
      </c>
      <c r="B12" s="48" t="s">
        <v>195</v>
      </c>
      <c r="C12" s="26" t="s">
        <v>99</v>
      </c>
      <c r="D12" s="26" t="s">
        <v>100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2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2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2">
        <v>0</v>
      </c>
      <c r="AC12" s="21" t="s"/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2">
        <v>0</v>
      </c>
      <c r="AK12" s="21" t="s"/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2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2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2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2">
        <v>0</v>
      </c>
      <c r="BQ12" s="21">
        <v>0</v>
      </c>
      <c r="BR12" s="21">
        <v>0</v>
      </c>
      <c r="BS12" s="21">
        <v>0</v>
      </c>
      <c r="BT12" s="21">
        <v>0</v>
      </c>
      <c r="BU12" s="21">
        <v>0</v>
      </c>
      <c r="BV12" s="21">
        <v>0</v>
      </c>
      <c r="BW12" s="21">
        <v>0</v>
      </c>
      <c r="BX12" s="22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2">
        <v>0</v>
      </c>
    </row>
    <row r="13" spans="1:84">
      <c r="A13" s="25">
        <v>10</v>
      </c>
      <c r="B13" s="48" t="s">
        <v>196</v>
      </c>
      <c r="C13" s="26" t="s">
        <v>101</v>
      </c>
      <c r="D13" s="26" t="s">
        <v>100</v>
      </c>
      <c r="E13" s="21">
        <v>5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2">
        <v>0</v>
      </c>
      <c r="M13" s="21">
        <v>10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2">
        <v>0</v>
      </c>
      <c r="U13" s="21">
        <v>10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2">
        <v>0</v>
      </c>
      <c r="AC13" s="21">
        <v>10</v>
      </c>
      <c r="AD13" s="21">
        <v>0</v>
      </c>
      <c r="AE13" s="21">
        <v>0</v>
      </c>
      <c r="AF13" s="21">
        <v>0</v>
      </c>
      <c r="AG13" s="21">
        <v>10</v>
      </c>
      <c r="AH13" s="21">
        <v>0</v>
      </c>
      <c r="AI13" s="21">
        <v>0</v>
      </c>
      <c r="AJ13" s="22">
        <v>0</v>
      </c>
      <c r="AK13" s="21">
        <v>10</v>
      </c>
      <c r="AL13" s="21">
        <v>0</v>
      </c>
      <c r="AM13" s="21">
        <v>0</v>
      </c>
      <c r="AN13" s="21">
        <v>0</v>
      </c>
      <c r="AO13" s="21">
        <v>10</v>
      </c>
      <c r="AP13" s="21">
        <v>0</v>
      </c>
      <c r="AQ13" s="21">
        <v>0</v>
      </c>
      <c r="AR13" s="22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2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2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v>0</v>
      </c>
      <c r="BO13" s="21">
        <v>0</v>
      </c>
      <c r="BP13" s="22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2">
        <v>0</v>
      </c>
      <c r="BY13" s="21">
        <v>0</v>
      </c>
      <c r="BZ13" s="21"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2">
        <v>0</v>
      </c>
    </row>
    <row r="14" spans="1:84">
      <c r="A14" s="27">
        <v>11</v>
      </c>
      <c r="B14" s="49" t="s">
        <v>197</v>
      </c>
      <c r="C14" s="28" t="s">
        <v>101</v>
      </c>
      <c r="D14" s="28" t="s">
        <v>102</v>
      </c>
      <c r="E14" s="21">
        <v>5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2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2">
        <v>0</v>
      </c>
      <c r="U14" s="21">
        <v>10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2">
        <v>0</v>
      </c>
      <c r="AC14" s="21">
        <v>10</v>
      </c>
      <c r="AD14" s="21">
        <v>0</v>
      </c>
      <c r="AE14" s="21">
        <v>0</v>
      </c>
      <c r="AF14" s="21">
        <v>0</v>
      </c>
      <c r="AG14" s="21">
        <v>0</v>
      </c>
      <c r="AH14" s="21">
        <v>10</v>
      </c>
      <c r="AI14" s="21">
        <v>0</v>
      </c>
      <c r="AJ14" s="22">
        <v>0</v>
      </c>
      <c r="AK14" s="21">
        <v>10</v>
      </c>
      <c r="AL14" s="21">
        <v>0</v>
      </c>
      <c r="AM14" s="21">
        <v>0</v>
      </c>
      <c r="AN14" s="21">
        <v>0</v>
      </c>
      <c r="AO14" s="21">
        <v>5</v>
      </c>
      <c r="AP14" s="21">
        <v>0</v>
      </c>
      <c r="AQ14" s="21">
        <v>0</v>
      </c>
      <c r="AR14" s="22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2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2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  <c r="BO14" s="21">
        <v>0</v>
      </c>
      <c r="BP14" s="22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2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2">
        <v>0</v>
      </c>
    </row>
    <row r="15" spans="1:84">
      <c r="A15" s="27">
        <v>12</v>
      </c>
      <c r="B15" s="49" t="s">
        <v>198</v>
      </c>
      <c r="C15" s="28" t="s">
        <v>101</v>
      </c>
      <c r="D15" s="28" t="s">
        <v>102</v>
      </c>
      <c r="E15" s="21">
        <v>5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2">
        <v>0</v>
      </c>
      <c r="M15" s="21">
        <v>10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2">
        <v>0</v>
      </c>
      <c r="U15" s="21">
        <v>10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2">
        <v>0</v>
      </c>
      <c r="AC15" s="21">
        <v>10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2">
        <v>0</v>
      </c>
      <c r="AK15" s="21">
        <v>10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2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2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2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2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2">
        <v>0</v>
      </c>
      <c r="BY15" s="21">
        <v>0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2">
        <v>0</v>
      </c>
    </row>
    <row r="16" spans="1:84">
      <c r="A16" s="27">
        <v>13</v>
      </c>
      <c r="B16" s="49" t="s">
        <v>199</v>
      </c>
      <c r="C16" s="28" t="s">
        <v>103</v>
      </c>
      <c r="D16" s="28" t="s">
        <v>102</v>
      </c>
      <c r="E16" s="21">
        <v>5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2">
        <v>0</v>
      </c>
      <c r="M16" s="21">
        <v>10</v>
      </c>
      <c r="N16" s="21">
        <v>5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2">
        <v>0</v>
      </c>
      <c r="U16" s="21">
        <v>10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2">
        <v>0</v>
      </c>
      <c r="AC16" s="21">
        <v>10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2">
        <v>0</v>
      </c>
      <c r="AK16" s="21">
        <v>10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2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2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2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2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2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2">
        <v>0</v>
      </c>
    </row>
    <row r="17" spans="1:84">
      <c r="A17" s="19">
        <v>14</v>
      </c>
      <c r="B17" s="46" t="s">
        <v>200</v>
      </c>
      <c r="C17" s="20" t="s">
        <v>104</v>
      </c>
      <c r="D17" s="20" t="s">
        <v>96</v>
      </c>
      <c r="E17" s="21">
        <v>5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2">
        <v>0</v>
      </c>
      <c r="M17" s="21">
        <v>10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2">
        <v>0</v>
      </c>
      <c r="U17" s="21">
        <v>10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2">
        <v>0</v>
      </c>
      <c r="AC17" s="21">
        <v>10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2">
        <v>0</v>
      </c>
      <c r="AK17" s="21">
        <v>10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2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2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2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2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2">
        <v>0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2">
        <v>0</v>
      </c>
    </row>
    <row r="18" spans="1:84">
      <c r="A18" s="23">
        <v>15</v>
      </c>
      <c r="B18" s="47" t="s">
        <v>201</v>
      </c>
      <c r="C18" s="24" t="s">
        <v>104</v>
      </c>
      <c r="D18" s="24" t="s">
        <v>98</v>
      </c>
      <c r="E18" s="21">
        <v>15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2">
        <v>0</v>
      </c>
      <c r="M18" s="21">
        <v>10</v>
      </c>
      <c r="N18" s="21">
        <v>10</v>
      </c>
      <c r="O18" s="21">
        <v>10</v>
      </c>
      <c r="P18" s="21">
        <v>0</v>
      </c>
      <c r="Q18" s="21">
        <v>0</v>
      </c>
      <c r="R18" s="21">
        <v>0</v>
      </c>
      <c r="S18" s="21">
        <v>0</v>
      </c>
      <c r="T18" s="22">
        <v>0</v>
      </c>
      <c r="U18" s="21">
        <v>10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2">
        <v>0</v>
      </c>
      <c r="AC18" s="21" t="s"/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2">
        <v>0</v>
      </c>
      <c r="AK18" s="21" t="s"/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2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2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2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  <c r="BO18" s="21">
        <v>0</v>
      </c>
      <c r="BP18" s="22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2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2">
        <v>0</v>
      </c>
    </row>
    <row r="19" spans="1:84">
      <c r="A19" s="23">
        <v>16</v>
      </c>
      <c r="B19" s="47" t="s">
        <v>202</v>
      </c>
      <c r="C19" s="24" t="s">
        <v>104</v>
      </c>
      <c r="D19" s="24" t="s">
        <v>98</v>
      </c>
      <c r="E19" s="21">
        <v>15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2">
        <v>0</v>
      </c>
      <c r="M19" s="21">
        <v>10</v>
      </c>
      <c r="N19" s="21">
        <v>10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2">
        <v>0</v>
      </c>
      <c r="U19" s="21">
        <v>10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2">
        <v>0</v>
      </c>
      <c r="AC19" s="21">
        <v>10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2">
        <v>0</v>
      </c>
      <c r="AK19" s="21">
        <v>10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2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2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2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2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2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2">
        <v>0</v>
      </c>
    </row>
    <row r="20" spans="1:84">
      <c r="A20" s="25">
        <v>17</v>
      </c>
      <c r="B20" s="48" t="s">
        <v>203</v>
      </c>
      <c r="C20" s="26" t="s">
        <v>104</v>
      </c>
      <c r="D20" s="26" t="s">
        <v>100</v>
      </c>
      <c r="E20" s="21">
        <v>5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2">
        <v>0</v>
      </c>
      <c r="M20" s="21">
        <v>10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2">
        <v>0</v>
      </c>
      <c r="U20" s="21">
        <v>10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2">
        <v>0</v>
      </c>
      <c r="AC20" s="21">
        <v>10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2">
        <v>0</v>
      </c>
      <c r="AK20" s="21">
        <v>10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2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2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2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  <c r="BO20" s="21">
        <v>0</v>
      </c>
      <c r="BP20" s="22">
        <v>0</v>
      </c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21">
        <v>0</v>
      </c>
      <c r="BW20" s="21">
        <v>0</v>
      </c>
      <c r="BX20" s="22">
        <v>0</v>
      </c>
      <c r="BY20" s="21">
        <v>5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2">
        <v>0</v>
      </c>
    </row>
    <row r="21" spans="1:84">
      <c r="A21" s="25">
        <v>18</v>
      </c>
      <c r="B21" s="48" t="s">
        <v>204</v>
      </c>
      <c r="C21" s="26" t="s">
        <v>104</v>
      </c>
      <c r="D21" s="26" t="s">
        <v>100</v>
      </c>
      <c r="E21" s="21">
        <v>5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2">
        <v>0</v>
      </c>
      <c r="M21" s="21">
        <v>10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2">
        <v>0</v>
      </c>
      <c r="U21" s="21">
        <v>10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2">
        <v>0</v>
      </c>
      <c r="AC21" s="21">
        <v>10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2">
        <v>0</v>
      </c>
      <c r="AK21" s="21">
        <v>10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2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2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2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2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2">
        <v>0</v>
      </c>
      <c r="BY21" s="21">
        <v>5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2">
        <v>0</v>
      </c>
    </row>
    <row r="22" spans="1:84">
      <c r="A22" s="27">
        <v>19</v>
      </c>
      <c r="B22" s="49" t="s">
        <v>205</v>
      </c>
      <c r="C22" s="28" t="s">
        <v>104</v>
      </c>
      <c r="D22" s="28" t="s">
        <v>102</v>
      </c>
      <c r="E22" s="21">
        <v>5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2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2">
        <v>0</v>
      </c>
      <c r="U22" s="21">
        <v>10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2">
        <v>0</v>
      </c>
      <c r="AC22" s="21" t="s"/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2">
        <v>0</v>
      </c>
      <c r="AK22" s="21" t="s"/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2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2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2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P22" s="22">
        <v>0</v>
      </c>
      <c r="BQ22" s="21">
        <v>0</v>
      </c>
      <c r="BR22" s="21">
        <v>0</v>
      </c>
      <c r="BS22" s="21">
        <v>0</v>
      </c>
      <c r="BT22" s="21">
        <v>0</v>
      </c>
      <c r="BU22" s="21">
        <v>0</v>
      </c>
      <c r="BV22" s="21">
        <v>0</v>
      </c>
      <c r="BW22" s="21">
        <v>0</v>
      </c>
      <c r="BX22" s="22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2">
        <v>0</v>
      </c>
    </row>
    <row r="23" spans="1:84">
      <c r="A23" s="27">
        <v>20</v>
      </c>
      <c r="B23" s="49" t="s">
        <v>206</v>
      </c>
      <c r="C23" s="28" t="s">
        <v>105</v>
      </c>
      <c r="D23" s="28" t="s">
        <v>102</v>
      </c>
      <c r="E23" s="21">
        <v>5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2">
        <v>0</v>
      </c>
      <c r="M23" s="21">
        <v>10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2">
        <v>0</v>
      </c>
      <c r="U23" s="21">
        <v>10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2">
        <v>0</v>
      </c>
      <c r="AC23" s="21">
        <v>10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2">
        <v>0</v>
      </c>
      <c r="AK23" s="21">
        <v>10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2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2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2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2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2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2">
        <v>0</v>
      </c>
    </row>
    <row r="24" spans="1:84">
      <c r="A24" s="19">
        <v>21</v>
      </c>
      <c r="B24" s="46" t="s">
        <v>207</v>
      </c>
      <c r="C24" s="20" t="s">
        <v>106</v>
      </c>
      <c r="D24" s="20" t="s">
        <v>96</v>
      </c>
      <c r="E24" s="21">
        <v>5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2">
        <v>0</v>
      </c>
      <c r="M24" s="21">
        <v>10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2">
        <v>0</v>
      </c>
      <c r="U24" s="21">
        <v>10</v>
      </c>
      <c r="V24" s="21">
        <v>0</v>
      </c>
      <c r="W24" s="21">
        <v>0</v>
      </c>
      <c r="X24" s="21">
        <v>0</v>
      </c>
      <c r="Y24" s="21">
        <v>5</v>
      </c>
      <c r="Z24" s="21">
        <v>0</v>
      </c>
      <c r="AA24" s="21">
        <v>0</v>
      </c>
      <c r="AB24" s="22">
        <v>0</v>
      </c>
      <c r="AC24" s="21">
        <v>10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2">
        <v>0</v>
      </c>
      <c r="AK24" s="21">
        <v>10</v>
      </c>
      <c r="AL24" s="21">
        <v>0</v>
      </c>
      <c r="AM24" s="21">
        <v>0</v>
      </c>
      <c r="AN24" s="21">
        <v>0</v>
      </c>
      <c r="AO24" s="21">
        <v>10</v>
      </c>
      <c r="AP24" s="21">
        <v>0</v>
      </c>
      <c r="AQ24" s="21">
        <v>0</v>
      </c>
      <c r="AR24" s="22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0</v>
      </c>
      <c r="AY24" s="21">
        <v>0</v>
      </c>
      <c r="AZ24" s="22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H24" s="22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v>0</v>
      </c>
      <c r="BO24" s="21">
        <v>0</v>
      </c>
      <c r="BP24" s="22">
        <v>0</v>
      </c>
      <c r="BQ24" s="21">
        <v>0</v>
      </c>
      <c r="BR24" s="21">
        <v>0</v>
      </c>
      <c r="BS24" s="21">
        <v>0</v>
      </c>
      <c r="BT24" s="21">
        <v>0</v>
      </c>
      <c r="BU24" s="21">
        <v>0</v>
      </c>
      <c r="BV24" s="21">
        <v>0</v>
      </c>
      <c r="BW24" s="21">
        <v>0</v>
      </c>
      <c r="BX24" s="22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2">
        <v>0</v>
      </c>
    </row>
    <row r="25" spans="1:84">
      <c r="A25" s="23">
        <v>22</v>
      </c>
      <c r="B25" s="47" t="s">
        <v>208</v>
      </c>
      <c r="C25" s="24" t="s">
        <v>106</v>
      </c>
      <c r="D25" s="24" t="s">
        <v>98</v>
      </c>
      <c r="E25" s="21">
        <v>5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2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2">
        <v>0</v>
      </c>
      <c r="U25" s="21">
        <v>10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2">
        <v>0</v>
      </c>
      <c r="AC25" s="21">
        <v>10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2">
        <v>0</v>
      </c>
      <c r="AK25" s="21">
        <v>10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2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0</v>
      </c>
      <c r="AY25" s="21">
        <v>0</v>
      </c>
      <c r="AZ25" s="22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2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2">
        <v>0</v>
      </c>
      <c r="BQ25" s="21">
        <v>0</v>
      </c>
      <c r="BR25" s="21">
        <v>0</v>
      </c>
      <c r="BS25" s="21">
        <v>0</v>
      </c>
      <c r="BT25" s="21">
        <v>0</v>
      </c>
      <c r="BU25" s="21">
        <v>0</v>
      </c>
      <c r="BV25" s="21">
        <v>0</v>
      </c>
      <c r="BW25" s="21">
        <v>0</v>
      </c>
      <c r="BX25" s="22">
        <v>0</v>
      </c>
      <c r="BY25" s="21">
        <v>0</v>
      </c>
      <c r="BZ25" s="21"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  <c r="CF25" s="22">
        <v>0</v>
      </c>
    </row>
    <row r="26" spans="1:84">
      <c r="A26" s="29">
        <v>23</v>
      </c>
      <c r="B26" s="48" t="s">
        <v>209</v>
      </c>
      <c r="C26" s="26" t="s">
        <v>106</v>
      </c>
      <c r="D26" s="26" t="s">
        <v>100</v>
      </c>
      <c r="E26" s="21">
        <v>5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2">
        <v>0</v>
      </c>
      <c r="M26" s="21">
        <v>10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2">
        <v>0</v>
      </c>
      <c r="U26" s="21">
        <v>10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2">
        <v>0</v>
      </c>
      <c r="AC26" s="21">
        <v>10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2">
        <v>0</v>
      </c>
      <c r="AK26" s="21">
        <v>10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2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2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2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  <c r="BO26" s="21">
        <v>0</v>
      </c>
      <c r="BP26" s="22">
        <v>0</v>
      </c>
      <c r="BQ26" s="21">
        <v>0</v>
      </c>
      <c r="BR26" s="21">
        <v>0</v>
      </c>
      <c r="BS26" s="21">
        <v>0</v>
      </c>
      <c r="BT26" s="21">
        <v>0</v>
      </c>
      <c r="BU26" s="21">
        <v>0</v>
      </c>
      <c r="BV26" s="21">
        <v>0</v>
      </c>
      <c r="BW26" s="21">
        <v>0</v>
      </c>
      <c r="BX26" s="22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2">
        <v>0</v>
      </c>
    </row>
    <row r="27" spans="1:84">
      <c r="A27" s="27">
        <v>24</v>
      </c>
      <c r="B27" s="49" t="s">
        <v>210</v>
      </c>
      <c r="C27" s="28" t="s">
        <v>106</v>
      </c>
      <c r="D27" s="28" t="s">
        <v>102</v>
      </c>
      <c r="E27" s="21">
        <v>5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2">
        <v>0</v>
      </c>
      <c r="M27" s="21">
        <v>10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2">
        <v>0</v>
      </c>
      <c r="U27" s="21">
        <v>10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2">
        <v>0</v>
      </c>
      <c r="AC27" s="21">
        <v>10</v>
      </c>
      <c r="AD27" s="21">
        <v>0</v>
      </c>
      <c r="AE27" s="21">
        <v>0</v>
      </c>
      <c r="AF27" s="21">
        <v>0</v>
      </c>
      <c r="AG27" s="21">
        <v>10</v>
      </c>
      <c r="AH27" s="21">
        <v>0</v>
      </c>
      <c r="AI27" s="21">
        <v>0</v>
      </c>
      <c r="AJ27" s="22">
        <v>0</v>
      </c>
      <c r="AK27" s="21">
        <v>10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2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2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2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2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2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2">
        <v>0</v>
      </c>
    </row>
    <row r="28" spans="1:84">
      <c r="A28" s="27">
        <v>25</v>
      </c>
      <c r="B28" s="49" t="s">
        <v>211</v>
      </c>
      <c r="C28" s="28" t="s">
        <v>106</v>
      </c>
      <c r="D28" s="28" t="s">
        <v>102</v>
      </c>
      <c r="E28" s="21">
        <v>5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2">
        <v>0</v>
      </c>
      <c r="M28" s="21">
        <v>10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2">
        <v>0</v>
      </c>
      <c r="U28" s="21">
        <v>10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2">
        <v>0</v>
      </c>
      <c r="AC28" s="21">
        <v>10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2">
        <v>0</v>
      </c>
      <c r="AK28" s="21">
        <v>10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2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2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2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  <c r="BO28" s="21">
        <v>0</v>
      </c>
      <c r="BP28" s="22">
        <v>0</v>
      </c>
      <c r="BQ28" s="21">
        <v>0</v>
      </c>
      <c r="BR28" s="21">
        <v>0</v>
      </c>
      <c r="BS28" s="21">
        <v>0</v>
      </c>
      <c r="BT28" s="21">
        <v>0</v>
      </c>
      <c r="BU28" s="21">
        <v>0</v>
      </c>
      <c r="BV28" s="21">
        <v>0</v>
      </c>
      <c r="BW28" s="21">
        <v>0</v>
      </c>
      <c r="BX28" s="22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2">
        <v>0</v>
      </c>
    </row>
    <row r="29" spans="1:84">
      <c r="A29" s="29">
        <v>26</v>
      </c>
      <c r="B29" s="50" t="s">
        <v>212</v>
      </c>
      <c r="C29" s="26" t="s">
        <v>106</v>
      </c>
      <c r="D29" s="26" t="s">
        <v>100</v>
      </c>
      <c r="E29" s="21">
        <v>5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2">
        <v>0</v>
      </c>
      <c r="M29" s="21">
        <v>10</v>
      </c>
      <c r="N29" s="21">
        <v>0</v>
      </c>
      <c r="O29" s="21">
        <v>0</v>
      </c>
      <c r="P29" s="21">
        <v>0</v>
      </c>
      <c r="Q29" s="21">
        <v>5</v>
      </c>
      <c r="R29" s="21">
        <v>0</v>
      </c>
      <c r="S29" s="21">
        <v>0</v>
      </c>
      <c r="T29" s="22">
        <v>0</v>
      </c>
      <c r="U29" s="21">
        <v>10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2">
        <v>0</v>
      </c>
      <c r="AC29" s="21">
        <v>10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2">
        <v>0</v>
      </c>
      <c r="AK29" s="21">
        <v>10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2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2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2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2">
        <v>0</v>
      </c>
      <c r="BQ29" s="21">
        <v>0</v>
      </c>
      <c r="BR29" s="21">
        <v>0</v>
      </c>
      <c r="BS29" s="21">
        <v>0</v>
      </c>
      <c r="BT29" s="21">
        <v>0</v>
      </c>
      <c r="BU29" s="21">
        <v>0</v>
      </c>
      <c r="BV29" s="21">
        <v>0</v>
      </c>
      <c r="BW29" s="21">
        <v>0</v>
      </c>
      <c r="BX29" s="22">
        <v>0</v>
      </c>
      <c r="BY29" s="21">
        <v>0</v>
      </c>
      <c r="BZ29" s="21">
        <v>0</v>
      </c>
      <c r="CA29" s="21">
        <v>0</v>
      </c>
      <c r="CB29" s="21">
        <v>0</v>
      </c>
      <c r="CC29" s="21">
        <v>0</v>
      </c>
      <c r="CD29" s="21">
        <v>0</v>
      </c>
      <c r="CE29" s="21">
        <v>0</v>
      </c>
      <c r="CF29" s="22">
        <v>0</v>
      </c>
    </row>
    <row r="30" spans="1:84">
      <c r="A30" s="31">
        <v>27</v>
      </c>
      <c r="B30" s="51" t="s">
        <v>213</v>
      </c>
      <c r="C30" s="32" t="s">
        <v>106</v>
      </c>
      <c r="D30" s="32" t="s">
        <v>96</v>
      </c>
      <c r="E30" s="21">
        <v>5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2">
        <v>0</v>
      </c>
      <c r="M30" s="21">
        <v>10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2">
        <v>0</v>
      </c>
      <c r="U30" s="21">
        <v>10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2">
        <v>0</v>
      </c>
      <c r="AC30" s="21">
        <v>10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2">
        <v>0</v>
      </c>
      <c r="AK30" s="21">
        <v>10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2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2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2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2">
        <v>0</v>
      </c>
      <c r="BQ30" s="21">
        <v>0</v>
      </c>
      <c r="BR30" s="21">
        <v>0</v>
      </c>
      <c r="BS30" s="21">
        <v>0</v>
      </c>
      <c r="BT30" s="21">
        <v>0</v>
      </c>
      <c r="BU30" s="21">
        <v>0</v>
      </c>
      <c r="BV30" s="21">
        <v>0</v>
      </c>
      <c r="BW30" s="21">
        <v>0</v>
      </c>
      <c r="BX30" s="22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2">
        <v>0</v>
      </c>
    </row>
  </sheetData>
  <mergeCells count="30">
    <mergeCell ref="AS2:AV2"/>
    <mergeCell ref="AW2:AY2"/>
    <mergeCell ref="BA2:BD2"/>
    <mergeCell ref="BE2:BG2"/>
    <mergeCell ref="BI2:BL2"/>
    <mergeCell ref="BM2:BO2"/>
    <mergeCell ref="AC2:AF2"/>
    <mergeCell ref="AG2:AI2"/>
    <mergeCell ref="AK2:AN2"/>
    <mergeCell ref="AO2:AQ2"/>
    <mergeCell ref="BQ2:BT2"/>
    <mergeCell ref="BU2:BW2"/>
    <mergeCell ref="BY2:CB2"/>
    <mergeCell ref="CC2:CE2"/>
    <mergeCell ref="U1:AA1"/>
    <mergeCell ref="AC1:AI1"/>
    <mergeCell ref="U2:X2"/>
    <mergeCell ref="Y2:AA2"/>
    <mergeCell ref="AK1:AQ1"/>
    <mergeCell ref="AS1:AY1"/>
    <mergeCell ref="BA1:BG1"/>
    <mergeCell ref="BI1:BO1"/>
    <mergeCell ref="BQ1:BW1"/>
    <mergeCell ref="BY1:CE1"/>
    <mergeCell ref="E1:K1"/>
    <mergeCell ref="E2:H2"/>
    <mergeCell ref="I2:K2"/>
    <mergeCell ref="M1:S1"/>
    <mergeCell ref="M2:P2"/>
    <mergeCell ref="Q2:S2"/>
  </mergeCells>
  <dataValidations>
    <dataValidation type="whole" errorStyle="stop" allowBlank="true" showDropDown="false" showInputMessage="true" showErrorMessage="true" prompt="" sqref="E4:E30">
      <formula1/>
      <formula2/>
    </dataValidation>
    <dataValidation type="whole" errorStyle="stop" allowBlank="true" showDropDown="false" showInputMessage="true" showErrorMessage="true" prompt="" sqref="F4:F30">
      <formula1/>
      <formula2/>
    </dataValidation>
    <dataValidation type="whole" errorStyle="stop" allowBlank="true" showDropDown="false" showInputMessage="true" showErrorMessage="true" prompt="" sqref="G4:G30">
      <formula1/>
      <formula2/>
    </dataValidation>
    <dataValidation type="whole" errorStyle="stop" allowBlank="true" showDropDown="false" showInputMessage="true" showErrorMessage="true" prompt="" sqref="H4:H30">
      <formula1/>
      <formula2/>
    </dataValidation>
    <dataValidation type="whole" errorStyle="stop" allowBlank="true" showDropDown="false" showInputMessage="true" showErrorMessage="true" prompt="" sqref="I4:I30">
      <formula1/>
      <formula2/>
    </dataValidation>
    <dataValidation type="whole" errorStyle="stop" allowBlank="true" showDropDown="false" showInputMessage="true" showErrorMessage="true" prompt="" sqref="J4:J30">
      <formula1/>
      <formula2/>
    </dataValidation>
    <dataValidation type="whole" errorStyle="stop" allowBlank="true" showDropDown="false" showInputMessage="true" showErrorMessage="true" prompt="" sqref="K4:K30">
      <formula1/>
      <formula2/>
    </dataValidation>
    <dataValidation type="whole" errorStyle="stop" allowBlank="true" showDropDown="false" showInputMessage="true" showErrorMessage="true" prompt="" sqref="L4:L30">
      <formula1/>
      <formula2/>
    </dataValidation>
    <dataValidation type="whole" errorStyle="stop" allowBlank="true" showDropDown="false" showInputMessage="true" showErrorMessage="true" prompt="" sqref="M4:M30">
      <formula1/>
      <formula2/>
    </dataValidation>
    <dataValidation type="whole" errorStyle="stop" allowBlank="true" showDropDown="false" showInputMessage="true" showErrorMessage="true" prompt="" sqref="N4:N30">
      <formula1/>
      <formula2/>
    </dataValidation>
    <dataValidation type="whole" errorStyle="stop" allowBlank="true" showDropDown="false" showInputMessage="true" showErrorMessage="true" prompt="" sqref="O4:O30">
      <formula1/>
      <formula2/>
    </dataValidation>
    <dataValidation type="whole" errorStyle="stop" allowBlank="true" showDropDown="false" showInputMessage="true" showErrorMessage="true" prompt="" sqref="P4:P30">
      <formula1/>
      <formula2/>
    </dataValidation>
    <dataValidation type="whole" errorStyle="stop" allowBlank="true" showDropDown="false" showInputMessage="true" showErrorMessage="true" prompt="" sqref="Q4:Q30">
      <formula1/>
      <formula2/>
    </dataValidation>
    <dataValidation type="whole" errorStyle="stop" allowBlank="true" showDropDown="false" showInputMessage="true" showErrorMessage="true" prompt="" sqref="R4:R30">
      <formula1/>
      <formula2/>
    </dataValidation>
    <dataValidation type="whole" errorStyle="stop" allowBlank="true" showDropDown="false" showInputMessage="true" showErrorMessage="true" prompt="" sqref="S4:S30">
      <formula1/>
      <formula2/>
    </dataValidation>
    <dataValidation type="whole" errorStyle="stop" allowBlank="true" showDropDown="false" showInputMessage="true" showErrorMessage="true" prompt="" sqref="T4:T30">
      <formula1/>
      <formula2/>
    </dataValidation>
    <dataValidation type="whole" errorStyle="stop" allowBlank="true" showDropDown="false" showInputMessage="true" showErrorMessage="true" prompt="" sqref="U4:U30">
      <formula1/>
      <formula2/>
    </dataValidation>
    <dataValidation type="whole" errorStyle="stop" allowBlank="true" showDropDown="false" showInputMessage="true" showErrorMessage="true" prompt="" sqref="V4:V30">
      <formula1/>
      <formula2/>
    </dataValidation>
    <dataValidation type="whole" errorStyle="stop" allowBlank="true" showDropDown="false" showInputMessage="true" showErrorMessage="true" prompt="" sqref="W4:W30">
      <formula1/>
      <formula2/>
    </dataValidation>
    <dataValidation type="whole" errorStyle="stop" allowBlank="true" showDropDown="false" showInputMessage="true" showErrorMessage="true" prompt="" sqref="X4:X30">
      <formula1/>
      <formula2/>
    </dataValidation>
    <dataValidation type="whole" errorStyle="stop" allowBlank="true" showDropDown="false" showInputMessage="true" showErrorMessage="true" prompt="" sqref="Y4:Y30">
      <formula1/>
      <formula2/>
    </dataValidation>
    <dataValidation type="whole" errorStyle="stop" allowBlank="true" showDropDown="false" showInputMessage="true" showErrorMessage="true" prompt="" sqref="Z4:Z30">
      <formula1/>
      <formula2/>
    </dataValidation>
    <dataValidation type="whole" errorStyle="stop" allowBlank="true" showDropDown="false" showInputMessage="true" showErrorMessage="true" prompt="" sqref="AA4:AA30">
      <formula1/>
      <formula2/>
    </dataValidation>
    <dataValidation type="whole" errorStyle="stop" allowBlank="true" showDropDown="false" showInputMessage="true" showErrorMessage="true" prompt="" sqref="AB4:AB30">
      <formula1/>
      <formula2/>
    </dataValidation>
    <dataValidation type="whole" errorStyle="stop" allowBlank="true" showDropDown="false" showInputMessage="true" showErrorMessage="true" prompt="" sqref="AC4:AC30">
      <formula1/>
      <formula2/>
    </dataValidation>
    <dataValidation type="whole" errorStyle="stop" allowBlank="true" showDropDown="false" showInputMessage="true" showErrorMessage="true" prompt="" sqref="AD4:AD30">
      <formula1/>
      <formula2/>
    </dataValidation>
    <dataValidation type="whole" errorStyle="stop" allowBlank="true" showDropDown="false" showInputMessage="true" showErrorMessage="true" prompt="" sqref="AE4:AE30">
      <formula1/>
      <formula2/>
    </dataValidation>
    <dataValidation type="whole" errorStyle="stop" allowBlank="true" showDropDown="false" showInputMessage="true" showErrorMessage="true" prompt="" sqref="AF4:AF30">
      <formula1/>
      <formula2/>
    </dataValidation>
    <dataValidation type="whole" errorStyle="stop" allowBlank="true" showDropDown="false" showInputMessage="true" showErrorMessage="true" prompt="" sqref="AG4:AG30">
      <formula1/>
      <formula2/>
    </dataValidation>
    <dataValidation type="whole" errorStyle="stop" allowBlank="true" showDropDown="false" showInputMessage="true" showErrorMessage="true" prompt="" sqref="AH4:AH30">
      <formula1/>
      <formula2/>
    </dataValidation>
    <dataValidation type="whole" errorStyle="stop" allowBlank="true" showDropDown="false" showInputMessage="true" showErrorMessage="true" prompt="" sqref="AI4:AI30">
      <formula1/>
      <formula2/>
    </dataValidation>
    <dataValidation type="whole" errorStyle="stop" allowBlank="true" showDropDown="false" showInputMessage="true" showErrorMessage="true" prompt="" sqref="AJ4:AJ30">
      <formula1/>
      <formula2/>
    </dataValidation>
    <dataValidation type="whole" errorStyle="stop" allowBlank="true" showDropDown="false" showInputMessage="true" showErrorMessage="true" prompt="" sqref="AK4:AK30">
      <formula1/>
      <formula2/>
    </dataValidation>
    <dataValidation type="whole" errorStyle="stop" allowBlank="true" showDropDown="false" showInputMessage="true" showErrorMessage="true" prompt="" sqref="AL4:AL30">
      <formula1/>
      <formula2/>
    </dataValidation>
    <dataValidation type="whole" errorStyle="stop" allowBlank="true" showDropDown="false" showInputMessage="true" showErrorMessage="true" prompt="" sqref="AM4:AM30">
      <formula1/>
      <formula2/>
    </dataValidation>
    <dataValidation type="whole" errorStyle="stop" allowBlank="true" showDropDown="false" showInputMessage="true" showErrorMessage="true" prompt="" sqref="AN4:AN30">
      <formula1/>
      <formula2/>
    </dataValidation>
    <dataValidation type="whole" errorStyle="stop" allowBlank="true" showDropDown="false" showInputMessage="true" showErrorMessage="true" prompt="" sqref="AO4:AO30">
      <formula1/>
      <formula2/>
    </dataValidation>
    <dataValidation type="whole" errorStyle="stop" allowBlank="true" showDropDown="false" showInputMessage="true" showErrorMessage="true" prompt="" sqref="AP4:AP30">
      <formula1/>
      <formula2/>
    </dataValidation>
    <dataValidation type="whole" errorStyle="stop" allowBlank="true" showDropDown="false" showInputMessage="true" showErrorMessage="true" prompt="" sqref="AQ4:AQ30">
      <formula1/>
      <formula2/>
    </dataValidation>
    <dataValidation type="whole" errorStyle="stop" allowBlank="true" showDropDown="false" showInputMessage="true" showErrorMessage="true" prompt="" sqref="AR4:AR30">
      <formula1/>
      <formula2/>
    </dataValidation>
    <dataValidation type="whole" errorStyle="stop" allowBlank="true" showDropDown="false" showInputMessage="true" showErrorMessage="true" prompt="" sqref="AS4:AS30">
      <formula1/>
      <formula2/>
    </dataValidation>
    <dataValidation type="whole" errorStyle="stop" allowBlank="true" showDropDown="false" showInputMessage="true" showErrorMessage="true" prompt="" sqref="AT4:AT30">
      <formula1/>
      <formula2/>
    </dataValidation>
    <dataValidation type="whole" errorStyle="stop" allowBlank="true" showDropDown="false" showInputMessage="true" showErrorMessage="true" prompt="" sqref="AU4:AU30">
      <formula1/>
      <formula2/>
    </dataValidation>
    <dataValidation type="whole" errorStyle="stop" allowBlank="true" showDropDown="false" showInputMessage="true" showErrorMessage="true" prompt="" sqref="AV4:AV30">
      <formula1/>
      <formula2/>
    </dataValidation>
    <dataValidation type="whole" errorStyle="stop" allowBlank="true" showDropDown="false" showInputMessage="true" showErrorMessage="true" prompt="" sqref="AW4:AW30">
      <formula1/>
      <formula2/>
    </dataValidation>
    <dataValidation type="whole" errorStyle="stop" allowBlank="true" showDropDown="false" showInputMessage="true" showErrorMessage="true" prompt="" sqref="AX4:AX30">
      <formula1/>
      <formula2/>
    </dataValidation>
    <dataValidation type="whole" errorStyle="stop" allowBlank="true" showDropDown="false" showInputMessage="true" showErrorMessage="true" prompt="" sqref="AY4:AY30">
      <formula1/>
      <formula2/>
    </dataValidation>
    <dataValidation type="whole" errorStyle="stop" allowBlank="true" showDropDown="false" showInputMessage="true" showErrorMessage="true" prompt="" sqref="AZ4:AZ30">
      <formula1/>
      <formula2/>
    </dataValidation>
    <dataValidation type="whole" errorStyle="stop" allowBlank="true" showDropDown="false" showInputMessage="true" showErrorMessage="true" prompt="" sqref="BA4:BA30">
      <formula1/>
      <formula2/>
    </dataValidation>
    <dataValidation type="whole" errorStyle="stop" allowBlank="true" showDropDown="false" showInputMessage="true" showErrorMessage="true" prompt="" sqref="BB4:BB30">
      <formula1/>
      <formula2/>
    </dataValidation>
    <dataValidation type="whole" errorStyle="stop" allowBlank="true" showDropDown="false" showInputMessage="true" showErrorMessage="true" prompt="" sqref="BC4:BC30">
      <formula1/>
      <formula2/>
    </dataValidation>
    <dataValidation type="whole" errorStyle="stop" allowBlank="true" showDropDown="false" showInputMessage="true" showErrorMessage="true" prompt="" sqref="BD4:BD30">
      <formula1/>
      <formula2/>
    </dataValidation>
    <dataValidation type="whole" errorStyle="stop" allowBlank="true" showDropDown="false" showInputMessage="true" showErrorMessage="true" prompt="" sqref="BE4:BE30">
      <formula1/>
      <formula2/>
    </dataValidation>
    <dataValidation type="whole" errorStyle="stop" allowBlank="true" showDropDown="false" showInputMessage="true" showErrorMessage="true" prompt="" sqref="BF4:BF30">
      <formula1/>
      <formula2/>
    </dataValidation>
    <dataValidation type="whole" errorStyle="stop" allowBlank="true" showDropDown="false" showInputMessage="true" showErrorMessage="true" prompt="" sqref="BG4:BG30">
      <formula1/>
      <formula2/>
    </dataValidation>
    <dataValidation type="whole" errorStyle="stop" allowBlank="true" showDropDown="false" showInputMessage="true" showErrorMessage="true" prompt="" sqref="BH4:BH30">
      <formula1/>
      <formula2/>
    </dataValidation>
    <dataValidation type="whole" errorStyle="stop" allowBlank="true" showDropDown="false" showInputMessage="true" showErrorMessage="true" prompt="" sqref="BI4:BI30">
      <formula1/>
      <formula2/>
    </dataValidation>
    <dataValidation type="whole" errorStyle="stop" allowBlank="true" showDropDown="false" showInputMessage="true" showErrorMessage="true" prompt="" sqref="BJ4:BJ30">
      <formula1/>
      <formula2/>
    </dataValidation>
    <dataValidation type="whole" errorStyle="stop" allowBlank="true" showDropDown="false" showInputMessage="true" showErrorMessage="true" prompt="" sqref="BK4:BK30">
      <formula1/>
      <formula2/>
    </dataValidation>
    <dataValidation type="whole" errorStyle="stop" allowBlank="true" showDropDown="false" showInputMessage="true" showErrorMessage="true" prompt="" sqref="BL4:BL30">
      <formula1/>
      <formula2/>
    </dataValidation>
    <dataValidation type="whole" errorStyle="stop" allowBlank="true" showDropDown="false" showInputMessage="true" showErrorMessage="true" prompt="" sqref="BM4:BM30">
      <formula1/>
      <formula2/>
    </dataValidation>
    <dataValidation type="whole" errorStyle="stop" allowBlank="true" showDropDown="false" showInputMessage="true" showErrorMessage="true" prompt="" sqref="BN4:BN30">
      <formula1/>
      <formula2/>
    </dataValidation>
    <dataValidation type="whole" errorStyle="stop" allowBlank="true" showDropDown="false" showInputMessage="true" showErrorMessage="true" prompt="" sqref="BO4:BO30">
      <formula1/>
      <formula2/>
    </dataValidation>
    <dataValidation type="whole" errorStyle="stop" allowBlank="true" showDropDown="false" showInputMessage="true" showErrorMessage="true" prompt="" sqref="BP4:BP30">
      <formula1/>
      <formula2/>
    </dataValidation>
    <dataValidation type="whole" errorStyle="stop" allowBlank="true" showDropDown="false" showInputMessage="true" showErrorMessage="true" prompt="" sqref="BQ4:BQ30">
      <formula1/>
      <formula2/>
    </dataValidation>
    <dataValidation type="whole" errorStyle="stop" allowBlank="true" showDropDown="false" showInputMessage="true" showErrorMessage="true" prompt="" sqref="BR4:BR30">
      <formula1/>
      <formula2/>
    </dataValidation>
    <dataValidation type="whole" errorStyle="stop" allowBlank="true" showDropDown="false" showInputMessage="true" showErrorMessage="true" prompt="" sqref="BS4:BS30">
      <formula1/>
      <formula2/>
    </dataValidation>
    <dataValidation type="whole" errorStyle="stop" allowBlank="true" showDropDown="false" showInputMessage="true" showErrorMessage="true" prompt="" sqref="BT4:BT30">
      <formula1/>
      <formula2/>
    </dataValidation>
    <dataValidation type="whole" errorStyle="stop" allowBlank="true" showDropDown="false" showInputMessage="true" showErrorMessage="true" prompt="" sqref="BU4:BU30">
      <formula1/>
      <formula2/>
    </dataValidation>
    <dataValidation type="whole" errorStyle="stop" allowBlank="true" showDropDown="false" showInputMessage="true" showErrorMessage="true" prompt="" sqref="BV4:BV30">
      <formula1/>
      <formula2/>
    </dataValidation>
    <dataValidation type="whole" errorStyle="stop" allowBlank="true" showDropDown="false" showInputMessage="true" showErrorMessage="true" prompt="" sqref="BW4:BW30">
      <formula1/>
      <formula2/>
    </dataValidation>
    <dataValidation type="whole" errorStyle="stop" allowBlank="true" showDropDown="false" showInputMessage="true" showErrorMessage="true" prompt="" sqref="BX4:BX30">
      <formula1/>
      <formula2/>
    </dataValidation>
    <dataValidation type="whole" errorStyle="stop" allowBlank="true" showDropDown="false" showInputMessage="true" showErrorMessage="true" prompt="" sqref="BY4:BY30">
      <formula1/>
      <formula2/>
    </dataValidation>
    <dataValidation type="whole" errorStyle="stop" allowBlank="true" showDropDown="false" showInputMessage="true" showErrorMessage="true" prompt="" sqref="BZ4:BZ30">
      <formula1/>
      <formula2/>
    </dataValidation>
    <dataValidation type="whole" errorStyle="stop" allowBlank="true" showDropDown="false" showInputMessage="true" showErrorMessage="true" prompt="" sqref="CA4:CA30">
      <formula1/>
      <formula2/>
    </dataValidation>
    <dataValidation type="whole" errorStyle="stop" allowBlank="true" showDropDown="false" showInputMessage="true" showErrorMessage="true" prompt="" sqref="CB4:CB30">
      <formula1/>
      <formula2/>
    </dataValidation>
    <dataValidation type="whole" errorStyle="stop" allowBlank="true" showDropDown="false" showInputMessage="true" showErrorMessage="true" prompt="" sqref="CC4:CC30">
      <formula1/>
      <formula2/>
    </dataValidation>
    <dataValidation type="whole" errorStyle="stop" allowBlank="true" showDropDown="false" showInputMessage="true" showErrorMessage="true" prompt="" sqref="CD4:CD30">
      <formula1/>
      <formula2/>
    </dataValidation>
    <dataValidation type="whole" errorStyle="stop" allowBlank="true" showDropDown="false" showInputMessage="true" showErrorMessage="true" prompt="" sqref="CE4:CE30">
      <formula1/>
      <formula2/>
    </dataValidation>
    <dataValidation type="whole" errorStyle="stop" allowBlank="true" showDropDown="false" showInputMessage="true" showErrorMessage="true" prompt="" sqref="CF4:CF30">
      <formula1/>
      <formula2/>
    </dataValidation>
  </dataValidations>
</worksheet>
</file>

<file path=xl/worksheets/sheet9.xml><?xml version="1.0" encoding="utf-8"?>
<worksheet xmlns="http://schemas.openxmlformats.org/spreadsheetml/2006/main">
  <sheetPr codeName="Jenny">
    <tabColor rgb="FFFFFFFF"/>
  </sheetPr>
  <dimension ref="CF30"/>
  <sheetViews>
    <sheetView showGridLines="true" workbookViewId="0">
      <pane xSplit="4" ySplit="3" topLeftCell="E4" state="frozen"/>
    </sheetView>
  </sheetViews>
  <cols>
    <col min="1" max="1" width="9.71094" customWidth="true"/>
    <col min="2" max="2" width="18.7109" customWidth="true"/>
    <col min="3" max="3" width="17.7109" customWidth="true"/>
    <col min="4" max="4" width="12.7109" customWidth="true"/>
    <col min="5" max="5" width="25.7109" customWidth="true"/>
    <col min="6" max="6" width="20.7109" customWidth="true"/>
    <col min="7" max="7" width="20.7109" customWidth="true"/>
    <col min="8" max="8" width="21.7109" customWidth="true"/>
    <col min="9" max="9" width="24.7109" customWidth="true"/>
    <col min="10" max="10" width="14.7109" customWidth="true"/>
    <col min="11" max="11" width="15.7109" customWidth="true"/>
    <col min="12" max="12" width="10.7109" customWidth="true"/>
    <col min="13" max="13" width="26.7109" customWidth="true"/>
    <col min="14" max="14" width="22.7109" customWidth="true"/>
    <col min="15" max="15" width="21.7109" customWidth="true"/>
    <col min="16" max="16" width="22.7109" customWidth="true"/>
    <col min="17" max="17" width="25.7109" customWidth="true"/>
    <col min="18" max="18" width="15.7109" customWidth="true"/>
    <col min="19" max="19" width="16.7109" customWidth="true"/>
    <col min="20" max="20" width="10.7109" customWidth="true"/>
    <col min="21" max="21" width="27.7109" customWidth="true"/>
    <col min="22" max="22" width="22.7109" customWidth="true"/>
    <col min="23" max="23" width="22.7109" customWidth="true"/>
    <col min="24" max="24" width="23.7109" customWidth="true"/>
    <col min="25" max="25" width="26.7109" customWidth="true"/>
    <col min="26" max="26" width="16.7109" customWidth="true"/>
    <col min="27" max="27" width="17.7109" customWidth="true"/>
    <col min="28" max="28" width="10.7109" customWidth="true"/>
    <col min="29" max="29" width="27.7109" customWidth="true"/>
    <col min="30" max="30" width="22.7109" customWidth="true"/>
    <col min="31" max="31" width="22.7109" customWidth="true"/>
    <col min="32" max="32" width="23.7109" customWidth="true"/>
    <col min="33" max="33" width="26.7109" customWidth="true"/>
    <col min="34" max="34" width="16.7109" customWidth="true"/>
    <col min="35" max="35" width="17.7109" customWidth="true"/>
    <col min="36" max="36" width="10.7109" customWidth="true"/>
    <col min="37" max="37" width="27.7109" customWidth="true"/>
    <col min="38" max="38" width="22.7109" customWidth="true"/>
    <col min="39" max="39" width="22.7109" customWidth="true"/>
    <col min="40" max="40" width="23.7109" customWidth="true"/>
    <col min="41" max="41" width="26.7109" customWidth="true"/>
    <col min="42" max="42" width="16.7109" customWidth="true"/>
    <col min="43" max="43" width="17.7109" customWidth="true"/>
    <col min="44" max="44" width="10.7109" customWidth="true"/>
    <col min="45" max="45" width="27.7109" customWidth="true"/>
    <col min="46" max="46" width="22.7109" customWidth="true"/>
    <col min="47" max="47" width="22.7109" customWidth="true"/>
    <col min="48" max="48" width="23.7109" customWidth="true"/>
    <col min="49" max="49" width="26.7109" customWidth="true"/>
    <col min="50" max="50" width="16.7109" customWidth="true"/>
    <col min="51" max="51" width="17.7109" customWidth="true"/>
    <col min="52" max="52" width="10.7109" customWidth="true"/>
    <col min="53" max="53" width="27.7109" customWidth="true"/>
    <col min="54" max="54" width="22.7109" customWidth="true"/>
    <col min="55" max="55" width="22.7109" customWidth="true"/>
    <col min="56" max="56" width="23.7109" customWidth="true"/>
    <col min="57" max="57" width="26.7109" customWidth="true"/>
    <col min="58" max="58" width="16.7109" customWidth="true"/>
    <col min="59" max="59" width="17.7109" customWidth="true"/>
    <col min="60" max="60" width="10.7109" customWidth="true"/>
    <col min="61" max="61" width="27.7109" customWidth="true"/>
    <col min="62" max="62" width="22.7109" customWidth="true"/>
    <col min="63" max="63" width="22.7109" customWidth="true"/>
    <col min="64" max="64" width="23.7109" customWidth="true"/>
    <col min="65" max="65" width="26.7109" customWidth="true"/>
    <col min="66" max="66" width="16.7109" customWidth="true"/>
    <col min="67" max="67" width="17.7109" customWidth="true"/>
    <col min="68" max="68" width="10.7109" customWidth="true"/>
    <col min="69" max="69" width="27.7109" customWidth="true"/>
    <col min="70" max="70" width="22.7109" customWidth="true"/>
    <col min="71" max="71" width="22.7109" customWidth="true"/>
    <col min="72" max="72" width="23.7109" customWidth="true"/>
    <col min="73" max="73" width="26.7109" customWidth="true"/>
    <col min="74" max="74" width="16.7109" customWidth="true"/>
    <col min="75" max="75" width="17.7109" customWidth="true"/>
    <col min="76" max="76" width="10.7109" customWidth="true"/>
    <col min="77" max="77" width="27.7109" customWidth="true"/>
    <col min="78" max="78" width="22.7109" customWidth="true"/>
    <col min="79" max="79" width="22.7109" customWidth="true"/>
    <col min="80" max="80" width="23.7109" customWidth="true"/>
    <col min="81" max="81" width="26.7109" customWidth="true"/>
    <col min="82" max="82" width="16.7109" customWidth="true"/>
    <col min="83" max="83" width="17.7109" customWidth="true"/>
    <col min="84" max="84" width="10.7109" customWidth="true"/>
  </cols>
  <sheetData>
    <row r="1" spans="1:84">
      <c r="A1" s="3" t="s">
        <v>1</v>
      </c>
      <c r="B1" s="4" t="s">
        <v>1</v>
      </c>
      <c r="C1" s="4" t="s">
        <v>1</v>
      </c>
      <c r="D1" s="4" t="s">
        <v>1</v>
      </c>
      <c r="E1" s="5" t="s">
        <v>2</v>
      </c>
      <c r="F1" s="6" t="s"/>
      <c r="G1" s="6" t="s"/>
      <c r="H1" s="6" t="s"/>
      <c r="I1" s="6" t="s"/>
      <c r="J1" s="6" t="s"/>
      <c r="K1" s="6" t="s"/>
      <c r="L1" s="7" t="s">
        <v>1</v>
      </c>
      <c r="M1" s="5" t="s">
        <v>3</v>
      </c>
      <c r="N1" s="6" t="s"/>
      <c r="O1" s="6" t="s"/>
      <c r="P1" s="6" t="s"/>
      <c r="Q1" s="6" t="s"/>
      <c r="R1" s="6" t="s"/>
      <c r="S1" s="6" t="s"/>
      <c r="T1" s="7" t="s">
        <v>1</v>
      </c>
      <c r="U1" s="5" t="s">
        <v>4</v>
      </c>
      <c r="V1" s="6" t="s"/>
      <c r="W1" s="6" t="s"/>
      <c r="X1" s="6" t="s"/>
      <c r="Y1" s="6" t="s"/>
      <c r="Z1" s="6" t="s"/>
      <c r="AA1" s="6" t="s"/>
      <c r="AB1" s="7" t="s">
        <v>1</v>
      </c>
      <c r="AC1" s="5" t="s">
        <v>5</v>
      </c>
      <c r="AD1" s="6" t="s"/>
      <c r="AE1" s="6" t="s"/>
      <c r="AF1" s="6" t="s"/>
      <c r="AG1" s="6" t="s"/>
      <c r="AH1" s="6" t="s"/>
      <c r="AI1" s="6" t="s"/>
      <c r="AJ1" s="7" t="s">
        <v>1</v>
      </c>
      <c r="AK1" s="5" t="s">
        <v>6</v>
      </c>
      <c r="AL1" s="6" t="s"/>
      <c r="AM1" s="6" t="s"/>
      <c r="AN1" s="6" t="s"/>
      <c r="AO1" s="6" t="s"/>
      <c r="AP1" s="6" t="s"/>
      <c r="AQ1" s="6" t="s"/>
      <c r="AR1" s="7" t="s">
        <v>1</v>
      </c>
      <c r="AS1" s="5" t="s">
        <v>7</v>
      </c>
      <c r="AT1" s="6" t="s"/>
      <c r="AU1" s="6" t="s"/>
      <c r="AV1" s="6" t="s"/>
      <c r="AW1" s="6" t="s"/>
      <c r="AX1" s="6" t="s"/>
      <c r="AY1" s="6" t="s"/>
      <c r="AZ1" s="7" t="s">
        <v>1</v>
      </c>
      <c r="BA1" s="5" t="s">
        <v>8</v>
      </c>
      <c r="BB1" s="6" t="s"/>
      <c r="BC1" s="6" t="s"/>
      <c r="BD1" s="6" t="s"/>
      <c r="BE1" s="6" t="s"/>
      <c r="BF1" s="6" t="s"/>
      <c r="BG1" s="6" t="s"/>
      <c r="BH1" s="7" t="s">
        <v>1</v>
      </c>
      <c r="BI1" s="5" t="s">
        <v>9</v>
      </c>
      <c r="BJ1" s="6" t="s"/>
      <c r="BK1" s="6" t="s"/>
      <c r="BL1" s="6" t="s"/>
      <c r="BM1" s="6" t="s"/>
      <c r="BN1" s="6" t="s"/>
      <c r="BO1" s="6" t="s"/>
      <c r="BP1" s="7" t="s">
        <v>1</v>
      </c>
      <c r="BQ1" s="5" t="s">
        <v>10</v>
      </c>
      <c r="BR1" s="6" t="s"/>
      <c r="BS1" s="6" t="s"/>
      <c r="BT1" s="6" t="s"/>
      <c r="BU1" s="6" t="s"/>
      <c r="BV1" s="6" t="s"/>
      <c r="BW1" s="6" t="s"/>
      <c r="BX1" s="7" t="s">
        <v>1</v>
      </c>
      <c r="BY1" s="5" t="s">
        <v>11</v>
      </c>
      <c r="BZ1" s="6" t="s"/>
      <c r="CA1" s="6" t="s"/>
      <c r="CB1" s="6" t="s"/>
      <c r="CC1" s="6" t="s"/>
      <c r="CD1" s="6" t="s"/>
      <c r="CE1" s="6" t="s"/>
      <c r="CF1" s="8" t="s">
        <v>1</v>
      </c>
    </row>
    <row r="2" spans="1:84" ht="15" customHeight="true">
      <c r="A2" s="9" t="s">
        <v>1</v>
      </c>
      <c r="B2" s="10" t="s">
        <v>1</v>
      </c>
      <c r="C2" s="10" t="s">
        <v>1</v>
      </c>
      <c r="D2" s="11" t="s">
        <v>1</v>
      </c>
      <c r="E2" s="12" t="s">
        <v>12</v>
      </c>
      <c r="F2" s="6" t="s"/>
      <c r="G2" s="6" t="s"/>
      <c r="H2" s="6" t="s"/>
      <c r="I2" s="13" t="s">
        <v>13</v>
      </c>
      <c r="J2" s="6" t="s"/>
      <c r="K2" s="6" t="s"/>
      <c r="L2" s="10" t="s">
        <v>1</v>
      </c>
      <c r="M2" s="12" t="s">
        <v>12</v>
      </c>
      <c r="N2" s="6" t="s"/>
      <c r="O2" s="6" t="s"/>
      <c r="P2" s="6" t="s"/>
      <c r="Q2" s="13" t="s">
        <v>13</v>
      </c>
      <c r="R2" s="6" t="s"/>
      <c r="S2" s="6" t="s"/>
      <c r="T2" s="10" t="s">
        <v>1</v>
      </c>
      <c r="U2" s="12" t="s">
        <v>12</v>
      </c>
      <c r="V2" s="6" t="s"/>
      <c r="W2" s="6" t="s"/>
      <c r="X2" s="6" t="s"/>
      <c r="Y2" s="13" t="s">
        <v>13</v>
      </c>
      <c r="Z2" s="6" t="s"/>
      <c r="AA2" s="6" t="s"/>
      <c r="AB2" s="10" t="s">
        <v>1</v>
      </c>
      <c r="AC2" s="12" t="s">
        <v>12</v>
      </c>
      <c r="AD2" s="6" t="s"/>
      <c r="AE2" s="6" t="s"/>
      <c r="AF2" s="6" t="s"/>
      <c r="AG2" s="13" t="s">
        <v>13</v>
      </c>
      <c r="AH2" s="6" t="s"/>
      <c r="AI2" s="6" t="s"/>
      <c r="AJ2" s="10" t="s">
        <v>1</v>
      </c>
      <c r="AK2" s="12" t="s">
        <v>12</v>
      </c>
      <c r="AL2" s="6" t="s"/>
      <c r="AM2" s="6" t="s"/>
      <c r="AN2" s="6" t="s"/>
      <c r="AO2" s="13" t="s">
        <v>13</v>
      </c>
      <c r="AP2" s="6" t="s"/>
      <c r="AQ2" s="6" t="s"/>
      <c r="AR2" s="10" t="s">
        <v>1</v>
      </c>
      <c r="AS2" s="12" t="s">
        <v>12</v>
      </c>
      <c r="AT2" s="6" t="s"/>
      <c r="AU2" s="6" t="s"/>
      <c r="AV2" s="6" t="s"/>
      <c r="AW2" s="13" t="s">
        <v>13</v>
      </c>
      <c r="AX2" s="6" t="s"/>
      <c r="AY2" s="6" t="s"/>
      <c r="AZ2" s="10" t="s">
        <v>1</v>
      </c>
      <c r="BA2" s="12" t="s">
        <v>12</v>
      </c>
      <c r="BB2" s="6" t="s"/>
      <c r="BC2" s="6" t="s"/>
      <c r="BD2" s="6" t="s"/>
      <c r="BE2" s="13" t="s">
        <v>13</v>
      </c>
      <c r="BF2" s="6" t="s"/>
      <c r="BG2" s="6" t="s"/>
      <c r="BH2" s="10" t="s">
        <v>1</v>
      </c>
      <c r="BI2" s="12" t="s">
        <v>12</v>
      </c>
      <c r="BJ2" s="6" t="s"/>
      <c r="BK2" s="6" t="s"/>
      <c r="BL2" s="6" t="s"/>
      <c r="BM2" s="13" t="s">
        <v>13</v>
      </c>
      <c r="BN2" s="6" t="s"/>
      <c r="BO2" s="6" t="s"/>
      <c r="BP2" s="10" t="s">
        <v>1</v>
      </c>
      <c r="BQ2" s="12" t="s">
        <v>12</v>
      </c>
      <c r="BR2" s="6" t="s"/>
      <c r="BS2" s="6" t="s"/>
      <c r="BT2" s="6" t="s"/>
      <c r="BU2" s="13" t="s">
        <v>13</v>
      </c>
      <c r="BV2" s="6" t="s"/>
      <c r="BW2" s="6" t="s"/>
      <c r="BX2" s="10" t="s">
        <v>1</v>
      </c>
      <c r="BY2" s="12" t="s">
        <v>12</v>
      </c>
      <c r="BZ2" s="6" t="s"/>
      <c r="CA2" s="6" t="s"/>
      <c r="CB2" s="6" t="s"/>
      <c r="CC2" s="13" t="s">
        <v>13</v>
      </c>
      <c r="CD2" s="6" t="s"/>
      <c r="CE2" s="6" t="s"/>
      <c r="CF2" s="10" t="s">
        <v>1</v>
      </c>
    </row>
    <row r="3" spans="1:84" ht="48.75" customHeight="true">
      <c r="A3" s="14" t="s">
        <v>155</v>
      </c>
      <c r="B3" s="14" t="s">
        <v>156</v>
      </c>
      <c r="C3" s="14" t="s">
        <v>157</v>
      </c>
      <c r="D3" s="15" t="s">
        <v>14</v>
      </c>
      <c r="E3" s="16" t="s">
        <v>15</v>
      </c>
      <c r="F3" s="16" t="s">
        <v>16</v>
      </c>
      <c r="G3" s="16" t="s">
        <v>17</v>
      </c>
      <c r="H3" s="16" t="s">
        <v>18</v>
      </c>
      <c r="I3" s="16" t="s">
        <v>19</v>
      </c>
      <c r="J3" s="16" t="s">
        <v>20</v>
      </c>
      <c r="K3" s="16" t="s">
        <v>21</v>
      </c>
      <c r="L3" s="17" t="s">
        <v>22</v>
      </c>
      <c r="M3" s="16" t="s">
        <v>23</v>
      </c>
      <c r="N3" s="16" t="s">
        <v>24</v>
      </c>
      <c r="O3" s="16" t="s">
        <v>25</v>
      </c>
      <c r="P3" s="16" t="s">
        <v>26</v>
      </c>
      <c r="Q3" s="16" t="s">
        <v>27</v>
      </c>
      <c r="R3" s="16" t="s">
        <v>28</v>
      </c>
      <c r="S3" s="16" t="s">
        <v>29</v>
      </c>
      <c r="T3" s="17" t="s">
        <v>30</v>
      </c>
      <c r="U3" s="16" t="s">
        <v>31</v>
      </c>
      <c r="V3" s="16" t="s">
        <v>32</v>
      </c>
      <c r="W3" s="16" t="s">
        <v>33</v>
      </c>
      <c r="X3" s="16" t="s">
        <v>34</v>
      </c>
      <c r="Y3" s="16" t="s">
        <v>35</v>
      </c>
      <c r="Z3" s="16" t="s">
        <v>36</v>
      </c>
      <c r="AA3" s="16" t="s">
        <v>37</v>
      </c>
      <c r="AB3" s="17" t="s">
        <v>38</v>
      </c>
      <c r="AC3" s="16" t="s">
        <v>39</v>
      </c>
      <c r="AD3" s="16" t="s">
        <v>40</v>
      </c>
      <c r="AE3" s="16" t="s">
        <v>41</v>
      </c>
      <c r="AF3" s="16" t="s">
        <v>42</v>
      </c>
      <c r="AG3" s="16" t="s">
        <v>43</v>
      </c>
      <c r="AH3" s="16" t="s">
        <v>44</v>
      </c>
      <c r="AI3" s="16" t="s">
        <v>45</v>
      </c>
      <c r="AJ3" s="17" t="s">
        <v>46</v>
      </c>
      <c r="AK3" s="16" t="s">
        <v>47</v>
      </c>
      <c r="AL3" s="16" t="s">
        <v>48</v>
      </c>
      <c r="AM3" s="16" t="s">
        <v>49</v>
      </c>
      <c r="AN3" s="16" t="s">
        <v>50</v>
      </c>
      <c r="AO3" s="16" t="s">
        <v>51</v>
      </c>
      <c r="AP3" s="16" t="s">
        <v>52</v>
      </c>
      <c r="AQ3" s="16" t="s">
        <v>53</v>
      </c>
      <c r="AR3" s="17" t="s">
        <v>54</v>
      </c>
      <c r="AS3" s="16" t="s">
        <v>55</v>
      </c>
      <c r="AT3" s="16" t="s">
        <v>56</v>
      </c>
      <c r="AU3" s="16" t="s">
        <v>57</v>
      </c>
      <c r="AV3" s="16" t="s">
        <v>58</v>
      </c>
      <c r="AW3" s="16" t="s">
        <v>59</v>
      </c>
      <c r="AX3" s="16" t="s">
        <v>60</v>
      </c>
      <c r="AY3" s="16" t="s">
        <v>61</v>
      </c>
      <c r="AZ3" s="17" t="s">
        <v>62</v>
      </c>
      <c r="BA3" s="16" t="s">
        <v>63</v>
      </c>
      <c r="BB3" s="16" t="s">
        <v>64</v>
      </c>
      <c r="BC3" s="16" t="s">
        <v>65</v>
      </c>
      <c r="BD3" s="16" t="s">
        <v>66</v>
      </c>
      <c r="BE3" s="16" t="s">
        <v>67</v>
      </c>
      <c r="BF3" s="16" t="s">
        <v>68</v>
      </c>
      <c r="BG3" s="16" t="s">
        <v>69</v>
      </c>
      <c r="BH3" s="17" t="s">
        <v>70</v>
      </c>
      <c r="BI3" s="16" t="s">
        <v>71</v>
      </c>
      <c r="BJ3" s="16" t="s">
        <v>72</v>
      </c>
      <c r="BK3" s="16" t="s">
        <v>73</v>
      </c>
      <c r="BL3" s="16" t="s">
        <v>74</v>
      </c>
      <c r="BM3" s="16" t="s">
        <v>75</v>
      </c>
      <c r="BN3" s="16" t="s">
        <v>76</v>
      </c>
      <c r="BO3" s="16" t="s">
        <v>77</v>
      </c>
      <c r="BP3" s="17" t="s">
        <v>78</v>
      </c>
      <c r="BQ3" s="16" t="s">
        <v>79</v>
      </c>
      <c r="BR3" s="16" t="s">
        <v>80</v>
      </c>
      <c r="BS3" s="16" t="s">
        <v>81</v>
      </c>
      <c r="BT3" s="16" t="s">
        <v>82</v>
      </c>
      <c r="BU3" s="16" t="s">
        <v>83</v>
      </c>
      <c r="BV3" s="16" t="s">
        <v>84</v>
      </c>
      <c r="BW3" s="16" t="s">
        <v>85</v>
      </c>
      <c r="BX3" s="17" t="s">
        <v>86</v>
      </c>
      <c r="BY3" s="16" t="s">
        <v>87</v>
      </c>
      <c r="BZ3" s="16" t="s">
        <v>88</v>
      </c>
      <c r="CA3" s="16" t="s">
        <v>89</v>
      </c>
      <c r="CB3" s="16" t="s">
        <v>90</v>
      </c>
      <c r="CC3" s="16" t="s">
        <v>91</v>
      </c>
      <c r="CD3" s="16" t="s">
        <v>92</v>
      </c>
      <c r="CE3" s="16" t="s">
        <v>93</v>
      </c>
      <c r="CF3" s="18" t="s">
        <v>94</v>
      </c>
    </row>
    <row r="4" spans="1:84">
      <c r="A4" s="19">
        <v>1</v>
      </c>
      <c r="B4" s="20" t="s">
        <v>158</v>
      </c>
      <c r="C4" s="20" t="s">
        <v>95</v>
      </c>
      <c r="D4" s="20" t="s">
        <v>96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2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2">
        <v>0</v>
      </c>
      <c r="U4" s="21">
        <v>5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2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2">
        <v>0</v>
      </c>
      <c r="AK4" s="21">
        <v>5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2">
        <v>0</v>
      </c>
      <c r="AS4" s="21">
        <v>0</v>
      </c>
      <c r="AT4" s="21">
        <v>0</v>
      </c>
      <c r="AU4" s="21">
        <v>0</v>
      </c>
      <c r="AV4" s="21">
        <v>0</v>
      </c>
      <c r="AW4" s="21">
        <v>0</v>
      </c>
      <c r="AX4" s="21">
        <v>0</v>
      </c>
      <c r="AY4" s="21">
        <v>0</v>
      </c>
      <c r="AZ4" s="22">
        <v>0</v>
      </c>
      <c r="BA4" s="21">
        <v>0</v>
      </c>
      <c r="BB4" s="21">
        <v>0</v>
      </c>
      <c r="BC4" s="21">
        <v>0</v>
      </c>
      <c r="BD4" s="21">
        <v>0</v>
      </c>
      <c r="BE4" s="21">
        <v>0</v>
      </c>
      <c r="BF4" s="21">
        <v>0</v>
      </c>
      <c r="BG4" s="21">
        <v>0</v>
      </c>
      <c r="BH4" s="22">
        <v>0</v>
      </c>
      <c r="BI4" s="21">
        <v>0</v>
      </c>
      <c r="BJ4" s="21">
        <v>0</v>
      </c>
      <c r="BK4" s="21">
        <v>0</v>
      </c>
      <c r="BL4" s="21">
        <v>0</v>
      </c>
      <c r="BM4" s="21">
        <v>0</v>
      </c>
      <c r="BN4" s="21">
        <v>0</v>
      </c>
      <c r="BO4" s="21">
        <v>0</v>
      </c>
      <c r="BP4" s="22">
        <v>0</v>
      </c>
      <c r="BQ4" s="21">
        <v>0</v>
      </c>
      <c r="BR4" s="21">
        <v>0</v>
      </c>
      <c r="BS4" s="21">
        <v>0</v>
      </c>
      <c r="BT4" s="21">
        <v>0</v>
      </c>
      <c r="BU4" s="21">
        <v>0</v>
      </c>
      <c r="BV4" s="21">
        <v>0</v>
      </c>
      <c r="BW4" s="21">
        <v>0</v>
      </c>
      <c r="BX4" s="22">
        <v>0</v>
      </c>
      <c r="BY4" s="21">
        <v>0</v>
      </c>
      <c r="BZ4" s="21">
        <v>0</v>
      </c>
      <c r="CA4" s="21">
        <v>0</v>
      </c>
      <c r="CB4" s="21">
        <v>0</v>
      </c>
      <c r="CC4" s="21">
        <v>0</v>
      </c>
      <c r="CD4" s="21">
        <v>0</v>
      </c>
      <c r="CE4" s="21">
        <v>0</v>
      </c>
      <c r="CF4" s="22">
        <v>0</v>
      </c>
    </row>
    <row r="5" spans="1:84">
      <c r="A5" s="19">
        <v>2</v>
      </c>
      <c r="B5" s="20" t="s">
        <v>159</v>
      </c>
      <c r="C5" s="20" t="s">
        <v>95</v>
      </c>
      <c r="D5" s="20" t="s">
        <v>96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2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2">
        <v>0</v>
      </c>
      <c r="U5" s="21">
        <v>5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2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2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2">
        <v>0</v>
      </c>
      <c r="AS5" s="21">
        <v>0</v>
      </c>
      <c r="AT5" s="21">
        <v>0</v>
      </c>
      <c r="AU5" s="21">
        <v>0</v>
      </c>
      <c r="AV5" s="21">
        <v>0</v>
      </c>
      <c r="AW5" s="21">
        <v>0</v>
      </c>
      <c r="AX5" s="21">
        <v>0</v>
      </c>
      <c r="AY5" s="21">
        <v>0</v>
      </c>
      <c r="AZ5" s="22">
        <v>0</v>
      </c>
      <c r="BA5" s="21">
        <v>0</v>
      </c>
      <c r="BB5" s="21">
        <v>0</v>
      </c>
      <c r="BC5" s="21">
        <v>0</v>
      </c>
      <c r="BD5" s="21">
        <v>0</v>
      </c>
      <c r="BE5" s="21">
        <v>0</v>
      </c>
      <c r="BF5" s="21">
        <v>0</v>
      </c>
      <c r="BG5" s="21">
        <v>0</v>
      </c>
      <c r="BH5" s="22">
        <v>0</v>
      </c>
      <c r="BI5" s="21">
        <v>0</v>
      </c>
      <c r="BJ5" s="21">
        <v>0</v>
      </c>
      <c r="BK5" s="21">
        <v>0</v>
      </c>
      <c r="BL5" s="21">
        <v>0</v>
      </c>
      <c r="BM5" s="21">
        <v>0</v>
      </c>
      <c r="BN5" s="21">
        <v>0</v>
      </c>
      <c r="BO5" s="21">
        <v>0</v>
      </c>
      <c r="BP5" s="22">
        <v>0</v>
      </c>
      <c r="BQ5" s="21">
        <v>0</v>
      </c>
      <c r="BR5" s="21">
        <v>0</v>
      </c>
      <c r="BS5" s="21">
        <v>0</v>
      </c>
      <c r="BT5" s="21">
        <v>0</v>
      </c>
      <c r="BU5" s="21">
        <v>0</v>
      </c>
      <c r="BV5" s="21">
        <v>0</v>
      </c>
      <c r="BW5" s="21">
        <v>0</v>
      </c>
      <c r="BX5" s="22">
        <v>0</v>
      </c>
      <c r="BY5" s="21">
        <v>0</v>
      </c>
      <c r="BZ5" s="21">
        <v>0</v>
      </c>
      <c r="CA5" s="21">
        <v>0</v>
      </c>
      <c r="CB5" s="21">
        <v>0</v>
      </c>
      <c r="CC5" s="21">
        <v>0</v>
      </c>
      <c r="CD5" s="21">
        <v>0</v>
      </c>
      <c r="CE5" s="21">
        <v>0</v>
      </c>
      <c r="CF5" s="22">
        <v>0</v>
      </c>
    </row>
    <row r="6" spans="1:84">
      <c r="A6" s="19">
        <v>3</v>
      </c>
      <c r="B6" s="20" t="s">
        <v>160</v>
      </c>
      <c r="C6" s="20" t="s">
        <v>97</v>
      </c>
      <c r="D6" s="20" t="s">
        <v>96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2">
        <v>0</v>
      </c>
      <c r="M6" s="21">
        <v>5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2">
        <v>0</v>
      </c>
      <c r="U6" s="21">
        <v>5</v>
      </c>
      <c r="V6" s="21">
        <v>10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2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2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2">
        <v>0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2">
        <v>0</v>
      </c>
      <c r="BA6" s="21">
        <v>0</v>
      </c>
      <c r="BB6" s="21">
        <v>0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H6" s="22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  <c r="BP6" s="22">
        <v>0</v>
      </c>
      <c r="BQ6" s="21">
        <v>0</v>
      </c>
      <c r="BR6" s="21">
        <v>0</v>
      </c>
      <c r="BS6" s="21">
        <v>0</v>
      </c>
      <c r="BT6" s="21">
        <v>0</v>
      </c>
      <c r="BU6" s="21">
        <v>0</v>
      </c>
      <c r="BV6" s="21">
        <v>0</v>
      </c>
      <c r="BW6" s="21">
        <v>0</v>
      </c>
      <c r="BX6" s="22">
        <v>0</v>
      </c>
      <c r="BY6" s="21">
        <v>0</v>
      </c>
      <c r="BZ6" s="21">
        <v>0</v>
      </c>
      <c r="CA6" s="21">
        <v>0</v>
      </c>
      <c r="CB6" s="21">
        <v>0</v>
      </c>
      <c r="CC6" s="21">
        <v>0</v>
      </c>
      <c r="CD6" s="21">
        <v>0</v>
      </c>
      <c r="CE6" s="21">
        <v>0</v>
      </c>
      <c r="CF6" s="22">
        <v>0</v>
      </c>
    </row>
    <row r="7" spans="1:84">
      <c r="A7" s="19">
        <v>4</v>
      </c>
      <c r="B7" s="20" t="s">
        <v>161</v>
      </c>
      <c r="C7" s="20" t="s">
        <v>97</v>
      </c>
      <c r="D7" s="20" t="s">
        <v>96</v>
      </c>
      <c r="E7" s="21">
        <v>0</v>
      </c>
      <c r="F7" s="21">
        <v>10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2">
        <v>0</v>
      </c>
      <c r="M7" s="21">
        <v>0</v>
      </c>
      <c r="N7" s="21">
        <v>10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2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2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2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2">
        <v>0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>
        <v>0</v>
      </c>
      <c r="AY7" s="21">
        <v>0</v>
      </c>
      <c r="AZ7" s="22">
        <v>0</v>
      </c>
      <c r="BA7" s="21">
        <v>0</v>
      </c>
      <c r="BB7" s="21">
        <v>0</v>
      </c>
      <c r="BC7" s="21">
        <v>0</v>
      </c>
      <c r="BD7" s="21">
        <v>0</v>
      </c>
      <c r="BE7" s="21">
        <v>0</v>
      </c>
      <c r="BF7" s="21">
        <v>0</v>
      </c>
      <c r="BG7" s="21">
        <v>0</v>
      </c>
      <c r="BH7" s="22">
        <v>0</v>
      </c>
      <c r="BI7" s="21">
        <v>0</v>
      </c>
      <c r="BJ7" s="21">
        <v>0</v>
      </c>
      <c r="BK7" s="21">
        <v>0</v>
      </c>
      <c r="BL7" s="21">
        <v>0</v>
      </c>
      <c r="BM7" s="21">
        <v>0</v>
      </c>
      <c r="BN7" s="21">
        <v>0</v>
      </c>
      <c r="BO7" s="21">
        <v>0</v>
      </c>
      <c r="BP7" s="22">
        <v>0</v>
      </c>
      <c r="BQ7" s="21">
        <v>0</v>
      </c>
      <c r="BR7" s="21">
        <v>0</v>
      </c>
      <c r="BS7" s="21">
        <v>0</v>
      </c>
      <c r="BT7" s="21">
        <v>0</v>
      </c>
      <c r="BU7" s="21">
        <v>0</v>
      </c>
      <c r="BV7" s="21">
        <v>0</v>
      </c>
      <c r="BW7" s="21">
        <v>0</v>
      </c>
      <c r="BX7" s="22">
        <v>0</v>
      </c>
      <c r="BY7" s="21">
        <v>0</v>
      </c>
      <c r="BZ7" s="21">
        <v>0</v>
      </c>
      <c r="CA7" s="21">
        <v>0</v>
      </c>
      <c r="CB7" s="21">
        <v>0</v>
      </c>
      <c r="CC7" s="21">
        <v>0</v>
      </c>
      <c r="CD7" s="21">
        <v>0</v>
      </c>
      <c r="CE7" s="21">
        <v>0</v>
      </c>
      <c r="CF7" s="22">
        <v>0</v>
      </c>
    </row>
    <row r="8" spans="1:84">
      <c r="A8" s="23">
        <v>5</v>
      </c>
      <c r="B8" s="24" t="s">
        <v>162</v>
      </c>
      <c r="C8" s="24" t="s">
        <v>97</v>
      </c>
      <c r="D8" s="24" t="s">
        <v>98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2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2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2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2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2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2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2">
        <v>0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  <c r="BO8" s="21">
        <v>0</v>
      </c>
      <c r="BP8" s="22">
        <v>0</v>
      </c>
      <c r="BQ8" s="21">
        <v>0</v>
      </c>
      <c r="BR8" s="21">
        <v>0</v>
      </c>
      <c r="BS8" s="21">
        <v>0</v>
      </c>
      <c r="BT8" s="21">
        <v>0</v>
      </c>
      <c r="BU8" s="21">
        <v>0</v>
      </c>
      <c r="BV8" s="21">
        <v>0</v>
      </c>
      <c r="BW8" s="21">
        <v>0</v>
      </c>
      <c r="BX8" s="22">
        <v>0</v>
      </c>
      <c r="BY8" s="21">
        <v>0</v>
      </c>
      <c r="BZ8" s="21">
        <v>0</v>
      </c>
      <c r="CA8" s="21">
        <v>0</v>
      </c>
      <c r="CB8" s="21">
        <v>0</v>
      </c>
      <c r="CC8" s="21">
        <v>0</v>
      </c>
      <c r="CD8" s="21">
        <v>0</v>
      </c>
      <c r="CE8" s="21">
        <v>0</v>
      </c>
      <c r="CF8" s="22">
        <v>0</v>
      </c>
    </row>
    <row r="9" spans="1:84">
      <c r="A9" s="23">
        <v>6</v>
      </c>
      <c r="B9" s="24" t="s">
        <v>163</v>
      </c>
      <c r="C9" s="24" t="s">
        <v>97</v>
      </c>
      <c r="D9" s="24" t="s">
        <v>98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2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2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2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2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2">
        <v>0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1">
        <v>0</v>
      </c>
      <c r="AZ9" s="22">
        <v>0</v>
      </c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F9" s="21">
        <v>0</v>
      </c>
      <c r="BG9" s="21">
        <v>0</v>
      </c>
      <c r="BH9" s="22">
        <v>0</v>
      </c>
      <c r="BI9" s="21">
        <v>0</v>
      </c>
      <c r="BJ9" s="21">
        <v>0</v>
      </c>
      <c r="BK9" s="21">
        <v>0</v>
      </c>
      <c r="BL9" s="21">
        <v>0</v>
      </c>
      <c r="BM9" s="21">
        <v>0</v>
      </c>
      <c r="BN9" s="21">
        <v>0</v>
      </c>
      <c r="BO9" s="21">
        <v>0</v>
      </c>
      <c r="BP9" s="22">
        <v>0</v>
      </c>
      <c r="BQ9" s="21">
        <v>0</v>
      </c>
      <c r="BR9" s="21">
        <v>0</v>
      </c>
      <c r="BS9" s="21">
        <v>0</v>
      </c>
      <c r="BT9" s="21">
        <v>0</v>
      </c>
      <c r="BU9" s="21">
        <v>0</v>
      </c>
      <c r="BV9" s="21">
        <v>0</v>
      </c>
      <c r="BW9" s="21">
        <v>0</v>
      </c>
      <c r="BX9" s="22">
        <v>0</v>
      </c>
      <c r="BY9" s="21">
        <v>0</v>
      </c>
      <c r="BZ9" s="21">
        <v>0</v>
      </c>
      <c r="CA9" s="21">
        <v>0</v>
      </c>
      <c r="CB9" s="21">
        <v>0</v>
      </c>
      <c r="CC9" s="21">
        <v>0</v>
      </c>
      <c r="CD9" s="21">
        <v>0</v>
      </c>
      <c r="CE9" s="21">
        <v>0</v>
      </c>
      <c r="CF9" s="22">
        <v>0</v>
      </c>
    </row>
    <row r="10" spans="1:84">
      <c r="A10" s="23">
        <v>7</v>
      </c>
      <c r="B10" s="24" t="s">
        <v>164</v>
      </c>
      <c r="C10" s="24" t="s">
        <v>99</v>
      </c>
      <c r="D10" s="24" t="s">
        <v>98</v>
      </c>
      <c r="E10" s="21">
        <v>5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2">
        <v>0</v>
      </c>
      <c r="M10" s="21">
        <v>5</v>
      </c>
      <c r="N10" s="21">
        <v>10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2">
        <v>0</v>
      </c>
      <c r="U10" s="21">
        <v>5</v>
      </c>
      <c r="V10" s="21">
        <v>10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2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2">
        <v>0</v>
      </c>
      <c r="AK10" s="21">
        <v>0</v>
      </c>
      <c r="AL10" s="21">
        <v>0</v>
      </c>
      <c r="AM10" s="21">
        <v>10</v>
      </c>
      <c r="AN10" s="21">
        <v>0</v>
      </c>
      <c r="AO10" s="21">
        <v>0</v>
      </c>
      <c r="AP10" s="21">
        <v>0</v>
      </c>
      <c r="AQ10" s="21">
        <v>0</v>
      </c>
      <c r="AR10" s="22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2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2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  <c r="BO10" s="21">
        <v>0</v>
      </c>
      <c r="BP10" s="22">
        <v>0</v>
      </c>
      <c r="BQ10" s="21">
        <v>0</v>
      </c>
      <c r="BR10" s="21">
        <v>0</v>
      </c>
      <c r="BS10" s="21">
        <v>0</v>
      </c>
      <c r="BT10" s="21">
        <v>0</v>
      </c>
      <c r="BU10" s="21">
        <v>0</v>
      </c>
      <c r="BV10" s="21">
        <v>0</v>
      </c>
      <c r="BW10" s="21">
        <v>0</v>
      </c>
      <c r="BX10" s="22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2">
        <v>0</v>
      </c>
    </row>
    <row r="11" spans="1:84">
      <c r="A11" s="25">
        <v>8</v>
      </c>
      <c r="B11" s="26" t="s">
        <v>165</v>
      </c>
      <c r="C11" s="26" t="s">
        <v>99</v>
      </c>
      <c r="D11" s="26" t="s">
        <v>100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2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2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2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2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2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2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2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2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2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2">
        <v>0</v>
      </c>
    </row>
    <row r="12" spans="1:84">
      <c r="A12" s="25">
        <v>9</v>
      </c>
      <c r="B12" s="26" t="s">
        <v>166</v>
      </c>
      <c r="C12" s="26" t="s">
        <v>99</v>
      </c>
      <c r="D12" s="26" t="s">
        <v>100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2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2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2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2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2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2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2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2">
        <v>0</v>
      </c>
      <c r="BQ12" s="21">
        <v>0</v>
      </c>
      <c r="BR12" s="21">
        <v>0</v>
      </c>
      <c r="BS12" s="21">
        <v>0</v>
      </c>
      <c r="BT12" s="21">
        <v>0</v>
      </c>
      <c r="BU12" s="21">
        <v>0</v>
      </c>
      <c r="BV12" s="21">
        <v>0</v>
      </c>
      <c r="BW12" s="21">
        <v>0</v>
      </c>
      <c r="BX12" s="22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2">
        <v>0</v>
      </c>
    </row>
    <row r="13" spans="1:84">
      <c r="A13" s="25">
        <v>10</v>
      </c>
      <c r="B13" s="26" t="s">
        <v>167</v>
      </c>
      <c r="C13" s="26" t="s">
        <v>101</v>
      </c>
      <c r="D13" s="26" t="s">
        <v>100</v>
      </c>
      <c r="E13" s="21">
        <v>5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2">
        <v>0</v>
      </c>
      <c r="M13" s="21">
        <v>5</v>
      </c>
      <c r="N13" s="21">
        <v>10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2">
        <v>0</v>
      </c>
      <c r="U13" s="21">
        <v>5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2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2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2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2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2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v>0</v>
      </c>
      <c r="BO13" s="21">
        <v>0</v>
      </c>
      <c r="BP13" s="22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2">
        <v>0</v>
      </c>
      <c r="BY13" s="21">
        <v>0</v>
      </c>
      <c r="BZ13" s="21"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2">
        <v>0</v>
      </c>
    </row>
    <row r="14" spans="1:84">
      <c r="A14" s="27">
        <v>11</v>
      </c>
      <c r="B14" s="28" t="s">
        <v>168</v>
      </c>
      <c r="C14" s="28" t="s">
        <v>101</v>
      </c>
      <c r="D14" s="28" t="s">
        <v>102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2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2">
        <v>0</v>
      </c>
      <c r="U14" s="21">
        <v>5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2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2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2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2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2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  <c r="BO14" s="21">
        <v>0</v>
      </c>
      <c r="BP14" s="22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2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2">
        <v>0</v>
      </c>
    </row>
    <row r="15" spans="1:84">
      <c r="A15" s="27">
        <v>12</v>
      </c>
      <c r="B15" s="28" t="s">
        <v>169</v>
      </c>
      <c r="C15" s="28" t="s">
        <v>101</v>
      </c>
      <c r="D15" s="28" t="s">
        <v>102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2">
        <v>0</v>
      </c>
      <c r="M15" s="21">
        <v>0</v>
      </c>
      <c r="N15" s="21">
        <v>10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2">
        <v>0</v>
      </c>
      <c r="U15" s="21">
        <v>5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2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2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2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2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2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2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2">
        <v>0</v>
      </c>
      <c r="BY15" s="21">
        <v>0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2">
        <v>0</v>
      </c>
    </row>
    <row r="16" spans="1:84">
      <c r="A16" s="27">
        <v>13</v>
      </c>
      <c r="B16" s="28" t="s">
        <v>170</v>
      </c>
      <c r="C16" s="28" t="s">
        <v>103</v>
      </c>
      <c r="D16" s="28" t="s">
        <v>102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2">
        <v>0</v>
      </c>
      <c r="M16" s="21">
        <v>0</v>
      </c>
      <c r="N16" s="21">
        <v>10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2">
        <v>0</v>
      </c>
      <c r="U16" s="21">
        <v>5</v>
      </c>
      <c r="V16" s="21">
        <v>10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2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2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2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2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2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2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2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2">
        <v>0</v>
      </c>
    </row>
    <row r="17" spans="1:84">
      <c r="A17" s="19">
        <v>14</v>
      </c>
      <c r="B17" s="20" t="s">
        <v>171</v>
      </c>
      <c r="C17" s="20" t="s">
        <v>104</v>
      </c>
      <c r="D17" s="20" t="s">
        <v>96</v>
      </c>
      <c r="E17" s="21">
        <v>5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2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2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2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2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2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2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2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2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2">
        <v>0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2">
        <v>0</v>
      </c>
    </row>
    <row r="18" spans="1:84">
      <c r="A18" s="23">
        <v>15</v>
      </c>
      <c r="B18" s="24" t="s">
        <v>172</v>
      </c>
      <c r="C18" s="24" t="s">
        <v>104</v>
      </c>
      <c r="D18" s="24" t="s">
        <v>98</v>
      </c>
      <c r="E18" s="21">
        <v>5</v>
      </c>
      <c r="F18" s="21">
        <v>10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2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2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2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2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2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2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2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  <c r="BO18" s="21">
        <v>0</v>
      </c>
      <c r="BP18" s="22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2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2">
        <v>0</v>
      </c>
    </row>
    <row r="19" spans="1:84">
      <c r="A19" s="23">
        <v>16</v>
      </c>
      <c r="B19" s="24" t="s">
        <v>173</v>
      </c>
      <c r="C19" s="24" t="s">
        <v>104</v>
      </c>
      <c r="D19" s="24" t="s">
        <v>98</v>
      </c>
      <c r="E19" s="21">
        <v>5</v>
      </c>
      <c r="F19" s="21">
        <v>10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2">
        <v>0</v>
      </c>
      <c r="M19" s="21">
        <v>5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2">
        <v>0</v>
      </c>
      <c r="U19" s="21">
        <v>5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2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2">
        <v>0</v>
      </c>
      <c r="AK19" s="21">
        <v>0</v>
      </c>
      <c r="AL19" s="21">
        <v>0</v>
      </c>
      <c r="AM19" s="21">
        <v>20</v>
      </c>
      <c r="AN19" s="21">
        <v>0</v>
      </c>
      <c r="AO19" s="21">
        <v>0</v>
      </c>
      <c r="AP19" s="21">
        <v>0</v>
      </c>
      <c r="AQ19" s="21">
        <v>0</v>
      </c>
      <c r="AR19" s="22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2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2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2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2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2">
        <v>0</v>
      </c>
    </row>
    <row r="20" spans="1:84">
      <c r="A20" s="25">
        <v>17</v>
      </c>
      <c r="B20" s="26" t="s">
        <v>174</v>
      </c>
      <c r="C20" s="26" t="s">
        <v>104</v>
      </c>
      <c r="D20" s="26" t="s">
        <v>100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2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2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2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2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2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2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2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  <c r="BO20" s="21">
        <v>0</v>
      </c>
      <c r="BP20" s="22">
        <v>0</v>
      </c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21">
        <v>0</v>
      </c>
      <c r="BW20" s="21">
        <v>0</v>
      </c>
      <c r="BX20" s="22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2">
        <v>0</v>
      </c>
    </row>
    <row r="21" spans="1:84">
      <c r="A21" s="25">
        <v>18</v>
      </c>
      <c r="B21" s="26" t="s">
        <v>175</v>
      </c>
      <c r="C21" s="26" t="s">
        <v>104</v>
      </c>
      <c r="D21" s="26" t="s">
        <v>100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2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2">
        <v>0</v>
      </c>
      <c r="U21" s="21">
        <v>5</v>
      </c>
      <c r="V21" s="21">
        <v>10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2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2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2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2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2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2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2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2">
        <v>0</v>
      </c>
    </row>
    <row r="22" spans="1:84">
      <c r="A22" s="27">
        <v>19</v>
      </c>
      <c r="B22" s="28" t="s">
        <v>176</v>
      </c>
      <c r="C22" s="28" t="s">
        <v>104</v>
      </c>
      <c r="D22" s="28" t="s">
        <v>102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2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2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2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2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2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2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2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P22" s="22">
        <v>0</v>
      </c>
      <c r="BQ22" s="21">
        <v>0</v>
      </c>
      <c r="BR22" s="21">
        <v>0</v>
      </c>
      <c r="BS22" s="21">
        <v>0</v>
      </c>
      <c r="BT22" s="21">
        <v>0</v>
      </c>
      <c r="BU22" s="21">
        <v>0</v>
      </c>
      <c r="BV22" s="21">
        <v>0</v>
      </c>
      <c r="BW22" s="21">
        <v>0</v>
      </c>
      <c r="BX22" s="22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2">
        <v>0</v>
      </c>
    </row>
    <row r="23" spans="1:84">
      <c r="A23" s="27">
        <v>20</v>
      </c>
      <c r="B23" s="28" t="s">
        <v>177</v>
      </c>
      <c r="C23" s="28" t="s">
        <v>105</v>
      </c>
      <c r="D23" s="28" t="s">
        <v>102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2">
        <v>0</v>
      </c>
      <c r="M23" s="21">
        <v>5</v>
      </c>
      <c r="N23" s="21">
        <v>10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2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2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2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2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2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2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2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2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2">
        <v>0</v>
      </c>
    </row>
    <row r="24" spans="1:84">
      <c r="A24" s="19">
        <v>21</v>
      </c>
      <c r="B24" s="20" t="s">
        <v>178</v>
      </c>
      <c r="C24" s="20" t="s">
        <v>106</v>
      </c>
      <c r="D24" s="20" t="s">
        <v>96</v>
      </c>
      <c r="E24" s="21">
        <v>5</v>
      </c>
      <c r="F24" s="21">
        <v>10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2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2">
        <v>0</v>
      </c>
      <c r="U24" s="21">
        <v>5</v>
      </c>
      <c r="V24" s="21">
        <v>20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2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2">
        <v>0</v>
      </c>
      <c r="AK24" s="21">
        <v>0</v>
      </c>
      <c r="AL24" s="21">
        <v>0</v>
      </c>
      <c r="AM24" s="21">
        <v>5</v>
      </c>
      <c r="AN24" s="21">
        <v>0</v>
      </c>
      <c r="AO24" s="21">
        <v>0</v>
      </c>
      <c r="AP24" s="21">
        <v>0</v>
      </c>
      <c r="AQ24" s="21">
        <v>0</v>
      </c>
      <c r="AR24" s="22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0</v>
      </c>
      <c r="AY24" s="21">
        <v>0</v>
      </c>
      <c r="AZ24" s="22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H24" s="22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v>0</v>
      </c>
      <c r="BO24" s="21">
        <v>0</v>
      </c>
      <c r="BP24" s="22">
        <v>0</v>
      </c>
      <c r="BQ24" s="21">
        <v>0</v>
      </c>
      <c r="BR24" s="21">
        <v>0</v>
      </c>
      <c r="BS24" s="21">
        <v>0</v>
      </c>
      <c r="BT24" s="21">
        <v>0</v>
      </c>
      <c r="BU24" s="21">
        <v>0</v>
      </c>
      <c r="BV24" s="21">
        <v>0</v>
      </c>
      <c r="BW24" s="21">
        <v>0</v>
      </c>
      <c r="BX24" s="22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2">
        <v>0</v>
      </c>
    </row>
    <row r="25" spans="1:84">
      <c r="A25" s="23">
        <v>22</v>
      </c>
      <c r="B25" s="24" t="s">
        <v>179</v>
      </c>
      <c r="C25" s="24" t="s">
        <v>106</v>
      </c>
      <c r="D25" s="24" t="s">
        <v>98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2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2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2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2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2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0</v>
      </c>
      <c r="AY25" s="21">
        <v>0</v>
      </c>
      <c r="AZ25" s="22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2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2">
        <v>0</v>
      </c>
      <c r="BQ25" s="21">
        <v>0</v>
      </c>
      <c r="BR25" s="21">
        <v>0</v>
      </c>
      <c r="BS25" s="21">
        <v>0</v>
      </c>
      <c r="BT25" s="21">
        <v>0</v>
      </c>
      <c r="BU25" s="21">
        <v>0</v>
      </c>
      <c r="BV25" s="21">
        <v>0</v>
      </c>
      <c r="BW25" s="21">
        <v>0</v>
      </c>
      <c r="BX25" s="22">
        <v>0</v>
      </c>
      <c r="BY25" s="21">
        <v>0</v>
      </c>
      <c r="BZ25" s="21"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  <c r="CF25" s="22">
        <v>0</v>
      </c>
    </row>
    <row r="26" spans="1:84">
      <c r="A26" s="29">
        <v>23</v>
      </c>
      <c r="B26" s="26" t="s">
        <v>180</v>
      </c>
      <c r="C26" s="26" t="s">
        <v>106</v>
      </c>
      <c r="D26" s="26" t="s">
        <v>100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2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2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2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2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2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2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2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  <c r="BO26" s="21">
        <v>0</v>
      </c>
      <c r="BP26" s="22">
        <v>0</v>
      </c>
      <c r="BQ26" s="21">
        <v>0</v>
      </c>
      <c r="BR26" s="21">
        <v>0</v>
      </c>
      <c r="BS26" s="21">
        <v>0</v>
      </c>
      <c r="BT26" s="21">
        <v>0</v>
      </c>
      <c r="BU26" s="21">
        <v>0</v>
      </c>
      <c r="BV26" s="21">
        <v>0</v>
      </c>
      <c r="BW26" s="21">
        <v>0</v>
      </c>
      <c r="BX26" s="22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2">
        <v>0</v>
      </c>
    </row>
    <row r="27" spans="1:84">
      <c r="A27" s="27">
        <v>24</v>
      </c>
      <c r="B27" s="28" t="s">
        <v>181</v>
      </c>
      <c r="C27" s="28" t="s">
        <v>106</v>
      </c>
      <c r="D27" s="28" t="s">
        <v>102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2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2">
        <v>0</v>
      </c>
      <c r="U27" s="21">
        <v>5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2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2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2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2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2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2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2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2">
        <v>0</v>
      </c>
    </row>
    <row r="28" spans="1:84">
      <c r="A28" s="27">
        <v>25</v>
      </c>
      <c r="B28" s="28" t="s">
        <v>182</v>
      </c>
      <c r="C28" s="28" t="s">
        <v>106</v>
      </c>
      <c r="D28" s="28" t="s">
        <v>102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2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2">
        <v>0</v>
      </c>
      <c r="U28" s="21">
        <v>5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2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2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2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2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2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  <c r="BO28" s="21">
        <v>0</v>
      </c>
      <c r="BP28" s="22">
        <v>0</v>
      </c>
      <c r="BQ28" s="21">
        <v>0</v>
      </c>
      <c r="BR28" s="21">
        <v>0</v>
      </c>
      <c r="BS28" s="21">
        <v>0</v>
      </c>
      <c r="BT28" s="21">
        <v>0</v>
      </c>
      <c r="BU28" s="21">
        <v>0</v>
      </c>
      <c r="BV28" s="21">
        <v>0</v>
      </c>
      <c r="BW28" s="21">
        <v>0</v>
      </c>
      <c r="BX28" s="22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2">
        <v>0</v>
      </c>
    </row>
    <row r="29" spans="1:84">
      <c r="A29" s="29">
        <v>26</v>
      </c>
      <c r="B29" s="30" t="s">
        <v>183</v>
      </c>
      <c r="C29" s="26" t="s">
        <v>106</v>
      </c>
      <c r="D29" s="26" t="s">
        <v>100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2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2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2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2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2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2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2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2">
        <v>0</v>
      </c>
      <c r="BQ29" s="21">
        <v>0</v>
      </c>
      <c r="BR29" s="21">
        <v>0</v>
      </c>
      <c r="BS29" s="21">
        <v>0</v>
      </c>
      <c r="BT29" s="21">
        <v>0</v>
      </c>
      <c r="BU29" s="21">
        <v>0</v>
      </c>
      <c r="BV29" s="21">
        <v>0</v>
      </c>
      <c r="BW29" s="21">
        <v>0</v>
      </c>
      <c r="BX29" s="22">
        <v>0</v>
      </c>
      <c r="BY29" s="21">
        <v>0</v>
      </c>
      <c r="BZ29" s="21">
        <v>0</v>
      </c>
      <c r="CA29" s="21">
        <v>0</v>
      </c>
      <c r="CB29" s="21">
        <v>0</v>
      </c>
      <c r="CC29" s="21">
        <v>0</v>
      </c>
      <c r="CD29" s="21">
        <v>0</v>
      </c>
      <c r="CE29" s="21">
        <v>0</v>
      </c>
      <c r="CF29" s="22">
        <v>0</v>
      </c>
    </row>
    <row r="30" spans="1:84">
      <c r="A30" s="31">
        <v>27</v>
      </c>
      <c r="B30" s="32" t="s">
        <v>184</v>
      </c>
      <c r="C30" s="32" t="s">
        <v>106</v>
      </c>
      <c r="D30" s="32" t="s">
        <v>96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2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2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2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2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2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2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2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2">
        <v>0</v>
      </c>
      <c r="BQ30" s="21">
        <v>0</v>
      </c>
      <c r="BR30" s="21">
        <v>0</v>
      </c>
      <c r="BS30" s="21">
        <v>0</v>
      </c>
      <c r="BT30" s="21">
        <v>0</v>
      </c>
      <c r="BU30" s="21">
        <v>0</v>
      </c>
      <c r="BV30" s="21">
        <v>0</v>
      </c>
      <c r="BW30" s="21">
        <v>0</v>
      </c>
      <c r="BX30" s="22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2">
        <v>0</v>
      </c>
    </row>
  </sheetData>
  <mergeCells count="30">
    <mergeCell ref="AK1:AQ1"/>
    <mergeCell ref="AS1:AY1"/>
    <mergeCell ref="BA1:BG1"/>
    <mergeCell ref="BI1:BO1"/>
    <mergeCell ref="BQ1:BW1"/>
    <mergeCell ref="BY1:CE1"/>
    <mergeCell ref="AS2:AV2"/>
    <mergeCell ref="AW2:AY2"/>
    <mergeCell ref="BA2:BD2"/>
    <mergeCell ref="BE2:BG2"/>
    <mergeCell ref="BI2:BL2"/>
    <mergeCell ref="BM2:BO2"/>
    <mergeCell ref="AK2:AN2"/>
    <mergeCell ref="AO2:AQ2"/>
    <mergeCell ref="BQ2:BT2"/>
    <mergeCell ref="BU2:BW2"/>
    <mergeCell ref="BY2:CB2"/>
    <mergeCell ref="CC2:CE2"/>
    <mergeCell ref="E1:K1"/>
    <mergeCell ref="M1:S1"/>
    <mergeCell ref="U1:AA1"/>
    <mergeCell ref="AC1:AI1"/>
    <mergeCell ref="U2:X2"/>
    <mergeCell ref="Y2:AA2"/>
    <mergeCell ref="AC2:AF2"/>
    <mergeCell ref="AG2:AI2"/>
    <mergeCell ref="E2:H2"/>
    <mergeCell ref="I2:K2"/>
    <mergeCell ref="M2:P2"/>
    <mergeCell ref="Q2:S2"/>
  </mergeCells>
  <dataValidations>
    <dataValidation type="whole" errorStyle="stop" allowBlank="true" showDropDown="false" showInputMessage="true" showErrorMessage="true" prompt="" sqref="E4:E30">
      <formula1/>
      <formula2/>
    </dataValidation>
    <dataValidation type="whole" errorStyle="stop" allowBlank="true" showDropDown="false" showInputMessage="true" showErrorMessage="true" prompt="" sqref="F4:F30">
      <formula1/>
      <formula2/>
    </dataValidation>
    <dataValidation type="whole" errorStyle="stop" allowBlank="true" showDropDown="false" showInputMessage="true" showErrorMessage="true" prompt="" sqref="G4:G30">
      <formula1/>
      <formula2/>
    </dataValidation>
    <dataValidation type="whole" errorStyle="stop" allowBlank="true" showDropDown="false" showInputMessage="true" showErrorMessage="true" prompt="" sqref="H4:H30">
      <formula1/>
      <formula2/>
    </dataValidation>
    <dataValidation type="whole" errorStyle="stop" allowBlank="true" showDropDown="false" showInputMessage="true" showErrorMessage="true" prompt="" sqref="I4:I30">
      <formula1/>
      <formula2/>
    </dataValidation>
    <dataValidation type="whole" errorStyle="stop" allowBlank="true" showDropDown="false" showInputMessage="true" showErrorMessage="true" prompt="" sqref="J4:J30">
      <formula1/>
      <formula2/>
    </dataValidation>
    <dataValidation type="whole" errorStyle="stop" allowBlank="true" showDropDown="false" showInputMessage="true" showErrorMessage="true" prompt="" sqref="K4:K30">
      <formula1/>
      <formula2/>
    </dataValidation>
    <dataValidation type="whole" errorStyle="stop" allowBlank="true" showDropDown="false" showInputMessage="true" showErrorMessage="true" prompt="" sqref="L4:L30">
      <formula1/>
      <formula2/>
    </dataValidation>
    <dataValidation type="whole" errorStyle="stop" allowBlank="true" showDropDown="false" showInputMessage="true" showErrorMessage="true" prompt="" sqref="M4:M30">
      <formula1/>
      <formula2/>
    </dataValidation>
    <dataValidation type="whole" errorStyle="stop" allowBlank="true" showDropDown="false" showInputMessage="true" showErrorMessage="true" prompt="" sqref="N4:N30">
      <formula1/>
      <formula2/>
    </dataValidation>
    <dataValidation type="whole" errorStyle="stop" allowBlank="true" showDropDown="false" showInputMessage="true" showErrorMessage="true" prompt="" sqref="O4:O30">
      <formula1/>
      <formula2/>
    </dataValidation>
    <dataValidation type="whole" errorStyle="stop" allowBlank="true" showDropDown="false" showInputMessage="true" showErrorMessage="true" prompt="" sqref="P4:P30">
      <formula1/>
      <formula2/>
    </dataValidation>
    <dataValidation type="whole" errorStyle="stop" allowBlank="true" showDropDown="false" showInputMessage="true" showErrorMessage="true" prompt="" sqref="Q4:Q30">
      <formula1/>
      <formula2/>
    </dataValidation>
    <dataValidation type="whole" errorStyle="stop" allowBlank="true" showDropDown="false" showInputMessage="true" showErrorMessage="true" prompt="" sqref="R4:R30">
      <formula1/>
      <formula2/>
    </dataValidation>
    <dataValidation type="whole" errorStyle="stop" allowBlank="true" showDropDown="false" showInputMessage="true" showErrorMessage="true" prompt="" sqref="S4:S30">
      <formula1/>
      <formula2/>
    </dataValidation>
    <dataValidation type="whole" errorStyle="stop" allowBlank="true" showDropDown="false" showInputMessage="true" showErrorMessage="true" prompt="" sqref="T4:T30">
      <formula1/>
      <formula2/>
    </dataValidation>
    <dataValidation type="whole" errorStyle="stop" allowBlank="true" showDropDown="false" showInputMessage="true" showErrorMessage="true" prompt="" sqref="U4:U30">
      <formula1/>
      <formula2/>
    </dataValidation>
    <dataValidation type="whole" errorStyle="stop" allowBlank="true" showDropDown="false" showInputMessage="true" showErrorMessage="true" prompt="" sqref="V4:V30">
      <formula1/>
      <formula2/>
    </dataValidation>
    <dataValidation type="whole" errorStyle="stop" allowBlank="true" showDropDown="false" showInputMessage="true" showErrorMessage="true" prompt="" sqref="W4:W30">
      <formula1/>
      <formula2/>
    </dataValidation>
    <dataValidation type="whole" errorStyle="stop" allowBlank="true" showDropDown="false" showInputMessage="true" showErrorMessage="true" prompt="" sqref="X4:X30">
      <formula1/>
      <formula2/>
    </dataValidation>
    <dataValidation type="whole" errorStyle="stop" allowBlank="true" showDropDown="false" showInputMessage="true" showErrorMessage="true" prompt="" sqref="Y4:Y30">
      <formula1/>
      <formula2/>
    </dataValidation>
    <dataValidation type="whole" errorStyle="stop" allowBlank="true" showDropDown="false" showInputMessage="true" showErrorMessage="true" prompt="" sqref="Z4:Z30">
      <formula1/>
      <formula2/>
    </dataValidation>
    <dataValidation type="whole" errorStyle="stop" allowBlank="true" showDropDown="false" showInputMessage="true" showErrorMessage="true" prompt="" sqref="AA4:AA30">
      <formula1/>
      <formula2/>
    </dataValidation>
    <dataValidation type="whole" errorStyle="stop" allowBlank="true" showDropDown="false" showInputMessage="true" showErrorMessage="true" prompt="" sqref="AB4:AB30">
      <formula1/>
      <formula2/>
    </dataValidation>
    <dataValidation type="whole" errorStyle="stop" allowBlank="true" showDropDown="false" showInputMessage="true" showErrorMessage="true" prompt="" sqref="AC4:AC30">
      <formula1/>
      <formula2/>
    </dataValidation>
    <dataValidation type="whole" errorStyle="stop" allowBlank="true" showDropDown="false" showInputMessage="true" showErrorMessage="true" prompt="" sqref="AD4:AD30">
      <formula1/>
      <formula2/>
    </dataValidation>
    <dataValidation type="whole" errorStyle="stop" allowBlank="true" showDropDown="false" showInputMessage="true" showErrorMessage="true" prompt="" sqref="AE4:AE30">
      <formula1/>
      <formula2/>
    </dataValidation>
    <dataValidation type="whole" errorStyle="stop" allowBlank="true" showDropDown="false" showInputMessage="true" showErrorMessage="true" prompt="" sqref="AF4:AF30">
      <formula1/>
      <formula2/>
    </dataValidation>
    <dataValidation type="whole" errorStyle="stop" allowBlank="true" showDropDown="false" showInputMessage="true" showErrorMessage="true" prompt="" sqref="AG4:AG30">
      <formula1/>
      <formula2/>
    </dataValidation>
    <dataValidation type="whole" errorStyle="stop" allowBlank="true" showDropDown="false" showInputMessage="true" showErrorMessage="true" prompt="" sqref="AH4:AH30">
      <formula1/>
      <formula2/>
    </dataValidation>
    <dataValidation type="whole" errorStyle="stop" allowBlank="true" showDropDown="false" showInputMessage="true" showErrorMessage="true" prompt="" sqref="AI4:AI30">
      <formula1/>
      <formula2/>
    </dataValidation>
    <dataValidation type="whole" errorStyle="stop" allowBlank="true" showDropDown="false" showInputMessage="true" showErrorMessage="true" prompt="" sqref="AJ4:AJ30">
      <formula1/>
      <formula2/>
    </dataValidation>
    <dataValidation type="whole" errorStyle="stop" allowBlank="true" showDropDown="false" showInputMessage="true" showErrorMessage="true" prompt="" sqref="AK4:AK30">
      <formula1/>
      <formula2/>
    </dataValidation>
    <dataValidation type="whole" errorStyle="stop" allowBlank="true" showDropDown="false" showInputMessage="true" showErrorMessage="true" prompt="" sqref="AL4:AL30">
      <formula1/>
      <formula2/>
    </dataValidation>
    <dataValidation type="whole" errorStyle="stop" allowBlank="true" showDropDown="false" showInputMessage="true" showErrorMessage="true" prompt="" sqref="AM4:AM30">
      <formula1/>
      <formula2/>
    </dataValidation>
    <dataValidation type="whole" errorStyle="stop" allowBlank="true" showDropDown="false" showInputMessage="true" showErrorMessage="true" prompt="" sqref="AN4:AN30">
      <formula1/>
      <formula2/>
    </dataValidation>
    <dataValidation type="whole" errorStyle="stop" allowBlank="true" showDropDown="false" showInputMessage="true" showErrorMessage="true" prompt="" sqref="AO4:AO30">
      <formula1/>
      <formula2/>
    </dataValidation>
    <dataValidation type="whole" errorStyle="stop" allowBlank="true" showDropDown="false" showInputMessage="true" showErrorMessage="true" prompt="" sqref="AP4:AP30">
      <formula1/>
      <formula2/>
    </dataValidation>
    <dataValidation type="whole" errorStyle="stop" allowBlank="true" showDropDown="false" showInputMessage="true" showErrorMessage="true" prompt="" sqref="AQ4:AQ30">
      <formula1/>
      <formula2/>
    </dataValidation>
    <dataValidation type="whole" errorStyle="stop" allowBlank="true" showDropDown="false" showInputMessage="true" showErrorMessage="true" prompt="" sqref="AR4:AR30">
      <formula1/>
      <formula2/>
    </dataValidation>
    <dataValidation type="whole" errorStyle="stop" allowBlank="true" showDropDown="false" showInputMessage="true" showErrorMessage="true" prompt="" sqref="AS4:AS30">
      <formula1/>
      <formula2/>
    </dataValidation>
    <dataValidation type="whole" errorStyle="stop" allowBlank="true" showDropDown="false" showInputMessage="true" showErrorMessage="true" prompt="" sqref="AT4:AT30">
      <formula1/>
      <formula2/>
    </dataValidation>
    <dataValidation type="whole" errorStyle="stop" allowBlank="true" showDropDown="false" showInputMessage="true" showErrorMessage="true" prompt="" sqref="AU4:AU30">
      <formula1/>
      <formula2/>
    </dataValidation>
    <dataValidation type="whole" errorStyle="stop" allowBlank="true" showDropDown="false" showInputMessage="true" showErrorMessage="true" prompt="" sqref="AV4:AV30">
      <formula1/>
      <formula2/>
    </dataValidation>
    <dataValidation type="whole" errorStyle="stop" allowBlank="true" showDropDown="false" showInputMessage="true" showErrorMessage="true" prompt="" sqref="AW4:AW30">
      <formula1/>
      <formula2/>
    </dataValidation>
    <dataValidation type="whole" errorStyle="stop" allowBlank="true" showDropDown="false" showInputMessage="true" showErrorMessage="true" prompt="" sqref="AX4:AX30">
      <formula1/>
      <formula2/>
    </dataValidation>
    <dataValidation type="whole" errorStyle="stop" allowBlank="true" showDropDown="false" showInputMessage="true" showErrorMessage="true" prompt="" sqref="AY4:AY30">
      <formula1/>
      <formula2/>
    </dataValidation>
    <dataValidation type="whole" errorStyle="stop" allowBlank="true" showDropDown="false" showInputMessage="true" showErrorMessage="true" prompt="" sqref="AZ4:AZ30">
      <formula1/>
      <formula2/>
    </dataValidation>
    <dataValidation type="whole" errorStyle="stop" allowBlank="true" showDropDown="false" showInputMessage="true" showErrorMessage="true" prompt="" sqref="BA4:BA30">
      <formula1/>
      <formula2/>
    </dataValidation>
    <dataValidation type="whole" errorStyle="stop" allowBlank="true" showDropDown="false" showInputMessage="true" showErrorMessage="true" prompt="" sqref="BB4:BB30">
      <formula1/>
      <formula2/>
    </dataValidation>
    <dataValidation type="whole" errorStyle="stop" allowBlank="true" showDropDown="false" showInputMessage="true" showErrorMessage="true" prompt="" sqref="BC4:BC30">
      <formula1/>
      <formula2/>
    </dataValidation>
    <dataValidation type="whole" errorStyle="stop" allowBlank="true" showDropDown="false" showInputMessage="true" showErrorMessage="true" prompt="" sqref="BD4:BD30">
      <formula1/>
      <formula2/>
    </dataValidation>
    <dataValidation type="whole" errorStyle="stop" allowBlank="true" showDropDown="false" showInputMessage="true" showErrorMessage="true" prompt="" sqref="BE4:BE30">
      <formula1/>
      <formula2/>
    </dataValidation>
    <dataValidation type="whole" errorStyle="stop" allowBlank="true" showDropDown="false" showInputMessage="true" showErrorMessage="true" prompt="" sqref="BF4:BF30">
      <formula1/>
      <formula2/>
    </dataValidation>
    <dataValidation type="whole" errorStyle="stop" allowBlank="true" showDropDown="false" showInputMessage="true" showErrorMessage="true" prompt="" sqref="BG4:BG30">
      <formula1/>
      <formula2/>
    </dataValidation>
    <dataValidation type="whole" errorStyle="stop" allowBlank="true" showDropDown="false" showInputMessage="true" showErrorMessage="true" prompt="" sqref="BH4:BH30">
      <formula1/>
      <formula2/>
    </dataValidation>
    <dataValidation type="whole" errorStyle="stop" allowBlank="true" showDropDown="false" showInputMessage="true" showErrorMessage="true" prompt="" sqref="BI4:BI30">
      <formula1/>
      <formula2/>
    </dataValidation>
    <dataValidation type="whole" errorStyle="stop" allowBlank="true" showDropDown="false" showInputMessage="true" showErrorMessage="true" prompt="" sqref="BJ4:BJ30">
      <formula1/>
      <formula2/>
    </dataValidation>
    <dataValidation type="whole" errorStyle="stop" allowBlank="true" showDropDown="false" showInputMessage="true" showErrorMessage="true" prompt="" sqref="BK4:BK30">
      <formula1/>
      <formula2/>
    </dataValidation>
    <dataValidation type="whole" errorStyle="stop" allowBlank="true" showDropDown="false" showInputMessage="true" showErrorMessage="true" prompt="" sqref="BL4:BL30">
      <formula1/>
      <formula2/>
    </dataValidation>
    <dataValidation type="whole" errorStyle="stop" allowBlank="true" showDropDown="false" showInputMessage="true" showErrorMessage="true" prompt="" sqref="BM4:BM30">
      <formula1/>
      <formula2/>
    </dataValidation>
    <dataValidation type="whole" errorStyle="stop" allowBlank="true" showDropDown="false" showInputMessage="true" showErrorMessage="true" prompt="" sqref="BN4:BN30">
      <formula1/>
      <formula2/>
    </dataValidation>
    <dataValidation type="whole" errorStyle="stop" allowBlank="true" showDropDown="false" showInputMessage="true" showErrorMessage="true" prompt="" sqref="BO4:BO30">
      <formula1/>
      <formula2/>
    </dataValidation>
    <dataValidation type="whole" errorStyle="stop" allowBlank="true" showDropDown="false" showInputMessage="true" showErrorMessage="true" prompt="" sqref="BP4:BP30">
      <formula1/>
      <formula2/>
    </dataValidation>
    <dataValidation type="whole" errorStyle="stop" allowBlank="true" showDropDown="false" showInputMessage="true" showErrorMessage="true" prompt="" sqref="BQ4:BQ30">
      <formula1/>
      <formula2/>
    </dataValidation>
    <dataValidation type="whole" errorStyle="stop" allowBlank="true" showDropDown="false" showInputMessage="true" showErrorMessage="true" prompt="" sqref="BR4:BR30">
      <formula1/>
      <formula2/>
    </dataValidation>
    <dataValidation type="whole" errorStyle="stop" allowBlank="true" showDropDown="false" showInputMessage="true" showErrorMessage="true" prompt="" sqref="BS4:BS30">
      <formula1/>
      <formula2/>
    </dataValidation>
    <dataValidation type="whole" errorStyle="stop" allowBlank="true" showDropDown="false" showInputMessage="true" showErrorMessage="true" prompt="" sqref="BT4:BT30">
      <formula1/>
      <formula2/>
    </dataValidation>
    <dataValidation type="whole" errorStyle="stop" allowBlank="true" showDropDown="false" showInputMessage="true" showErrorMessage="true" prompt="" sqref="BU4:BU30">
      <formula1/>
      <formula2/>
    </dataValidation>
    <dataValidation type="whole" errorStyle="stop" allowBlank="true" showDropDown="false" showInputMessage="true" showErrorMessage="true" prompt="" sqref="BV4:BV30">
      <formula1/>
      <formula2/>
    </dataValidation>
    <dataValidation type="whole" errorStyle="stop" allowBlank="true" showDropDown="false" showInputMessage="true" showErrorMessage="true" prompt="" sqref="BW4:BW30">
      <formula1/>
      <formula2/>
    </dataValidation>
    <dataValidation type="whole" errorStyle="stop" allowBlank="true" showDropDown="false" showInputMessage="true" showErrorMessage="true" prompt="" sqref="BX4:BX30">
      <formula1/>
      <formula2/>
    </dataValidation>
    <dataValidation type="whole" errorStyle="stop" allowBlank="true" showDropDown="false" showInputMessage="true" showErrorMessage="true" prompt="" sqref="BY4:BY30">
      <formula1/>
      <formula2/>
    </dataValidation>
    <dataValidation type="whole" errorStyle="stop" allowBlank="true" showDropDown="false" showInputMessage="true" showErrorMessage="true" prompt="" sqref="BZ4:BZ30">
      <formula1/>
      <formula2/>
    </dataValidation>
    <dataValidation type="whole" errorStyle="stop" allowBlank="true" showDropDown="false" showInputMessage="true" showErrorMessage="true" prompt="" sqref="CA4:CA30">
      <formula1/>
      <formula2/>
    </dataValidation>
    <dataValidation type="whole" errorStyle="stop" allowBlank="true" showDropDown="false" showInputMessage="true" showErrorMessage="true" prompt="" sqref="CB4:CB30">
      <formula1/>
      <formula2/>
    </dataValidation>
    <dataValidation type="whole" errorStyle="stop" allowBlank="true" showDropDown="false" showInputMessage="true" showErrorMessage="true" prompt="" sqref="CC4:CC30">
      <formula1/>
      <formula2/>
    </dataValidation>
    <dataValidation type="whole" errorStyle="stop" allowBlank="true" showDropDown="false" showInputMessage="true" showErrorMessage="true" prompt="" sqref="CD4:CD30">
      <formula1/>
      <formula2/>
    </dataValidation>
    <dataValidation type="whole" errorStyle="stop" allowBlank="true" showDropDown="false" showInputMessage="true" showErrorMessage="true" prompt="" sqref="CE4:CE30">
      <formula1/>
      <formula2/>
    </dataValidation>
    <dataValidation type="whole" errorStyle="stop" allowBlank="true" showDropDown="false" showInputMessage="true" showErrorMessage="true" prompt="" sqref="CF4:CF30">
      <formula1/>
      <formula2/>
    </dataValidation>
  </dataValidations>
</worksheet>
</file>

<file path=xl/worksheets/sheet10.xml><?xml version="1.0" encoding="utf-8"?>
<worksheet xmlns="http://schemas.openxmlformats.org/spreadsheetml/2006/main">
  <sheetPr codeName="Tank">
    <tabColor rgb="FFFFFFFF"/>
  </sheetPr>
  <dimension ref="CF30"/>
  <sheetViews>
    <sheetView showGridLines="true" workbookViewId="0">
      <pane xSplit="4" ySplit="3" topLeftCell="E4" state="frozen"/>
    </sheetView>
  </sheetViews>
  <cols>
    <col min="1" max="1" width="9.71094" customWidth="true"/>
    <col min="2" max="2" width="18.7109" customWidth="true"/>
    <col min="3" max="3" width="17.7109" customWidth="true"/>
    <col min="4" max="4" width="12.7109" customWidth="true"/>
    <col min="5" max="5" width="25.7109" customWidth="true"/>
    <col min="6" max="6" width="20.7109" customWidth="true"/>
    <col min="7" max="7" width="20.7109" customWidth="true"/>
    <col min="8" max="8" width="21.7109" customWidth="true"/>
    <col min="9" max="9" width="24.7109" customWidth="true"/>
    <col min="10" max="10" width="14.7109" customWidth="true"/>
    <col min="11" max="11" width="15.7109" customWidth="true"/>
    <col min="12" max="12" width="10.7109" customWidth="true"/>
    <col min="13" max="13" width="26.7109" customWidth="true"/>
    <col min="14" max="14" width="22.7109" customWidth="true"/>
    <col min="15" max="15" width="21.7109" customWidth="true"/>
    <col min="16" max="16" width="22.7109" customWidth="true"/>
    <col min="17" max="17" width="25.7109" customWidth="true"/>
    <col min="18" max="18" width="15.7109" customWidth="true"/>
    <col min="19" max="19" width="16.7109" customWidth="true"/>
    <col min="20" max="20" width="10.7109" customWidth="true"/>
    <col min="21" max="21" width="27.7109" customWidth="true"/>
    <col min="22" max="22" width="22.7109" customWidth="true"/>
    <col min="23" max="23" width="22.7109" customWidth="true"/>
    <col min="24" max="24" width="23.7109" customWidth="true"/>
    <col min="25" max="25" width="26.7109" customWidth="true"/>
    <col min="26" max="26" width="16.7109" customWidth="true"/>
    <col min="27" max="27" width="17.7109" customWidth="true"/>
    <col min="28" max="28" width="10.7109" customWidth="true"/>
    <col min="29" max="29" width="27.7109" customWidth="true"/>
    <col min="30" max="30" width="22.7109" customWidth="true"/>
    <col min="31" max="31" width="22.7109" customWidth="true"/>
    <col min="32" max="32" width="23.7109" customWidth="true"/>
    <col min="33" max="33" width="26.7109" customWidth="true"/>
    <col min="34" max="34" width="16.7109" customWidth="true"/>
    <col min="35" max="35" width="17.7109" customWidth="true"/>
    <col min="36" max="36" width="10.7109" customWidth="true"/>
    <col min="37" max="37" width="27.7109" customWidth="true"/>
    <col min="38" max="38" width="22.7109" customWidth="true"/>
    <col min="39" max="39" width="22.7109" customWidth="true"/>
    <col min="40" max="40" width="23.7109" customWidth="true"/>
    <col min="41" max="41" width="26.7109" customWidth="true"/>
    <col min="42" max="42" width="16.7109" customWidth="true"/>
    <col min="43" max="43" width="17.7109" customWidth="true"/>
    <col min="44" max="44" width="10.7109" customWidth="true"/>
    <col min="45" max="45" width="27.7109" customWidth="true"/>
    <col min="46" max="46" width="22.7109" customWidth="true"/>
    <col min="47" max="47" width="22.7109" customWidth="true"/>
    <col min="48" max="48" width="23.7109" customWidth="true"/>
    <col min="49" max="49" width="26.7109" customWidth="true"/>
    <col min="50" max="50" width="16.7109" customWidth="true"/>
    <col min="51" max="51" width="17.7109" customWidth="true"/>
    <col min="52" max="52" width="10.7109" customWidth="true"/>
    <col min="53" max="53" width="27.7109" customWidth="true"/>
    <col min="54" max="54" width="22.7109" customWidth="true"/>
    <col min="55" max="55" width="22.7109" customWidth="true"/>
    <col min="56" max="56" width="23.7109" customWidth="true"/>
    <col min="57" max="57" width="26.7109" customWidth="true"/>
    <col min="58" max="58" width="16.7109" customWidth="true"/>
    <col min="59" max="59" width="17.7109" customWidth="true"/>
    <col min="60" max="60" width="10.7109" customWidth="true"/>
    <col min="61" max="61" width="27.7109" customWidth="true"/>
    <col min="62" max="62" width="22.7109" customWidth="true"/>
    <col min="63" max="63" width="22.7109" customWidth="true"/>
    <col min="64" max="64" width="23.7109" customWidth="true"/>
    <col min="65" max="65" width="26.7109" customWidth="true"/>
    <col min="66" max="66" width="16.7109" customWidth="true"/>
    <col min="67" max="67" width="17.7109" customWidth="true"/>
    <col min="68" max="68" width="10.7109" customWidth="true"/>
    <col min="69" max="69" width="27.7109" customWidth="true"/>
    <col min="70" max="70" width="22.7109" customWidth="true"/>
    <col min="71" max="71" width="22.7109" customWidth="true"/>
    <col min="72" max="72" width="23.7109" customWidth="true"/>
    <col min="73" max="73" width="26.7109" customWidth="true"/>
    <col min="74" max="74" width="16.7109" customWidth="true"/>
    <col min="75" max="75" width="17.7109" customWidth="true"/>
    <col min="76" max="76" width="10.7109" customWidth="true"/>
    <col min="77" max="77" width="27.7109" customWidth="true"/>
    <col min="78" max="78" width="22.7109" customWidth="true"/>
    <col min="79" max="79" width="22.7109" customWidth="true"/>
    <col min="80" max="80" width="23.7109" customWidth="true"/>
    <col min="81" max="81" width="26.7109" customWidth="true"/>
    <col min="82" max="82" width="16.7109" customWidth="true"/>
    <col min="83" max="83" width="17.7109" customWidth="true"/>
    <col min="84" max="84" width="10.7109" customWidth="true"/>
  </cols>
  <sheetData>
    <row r="1" spans="1:84">
      <c r="A1" s="3" t="s">
        <v>1</v>
      </c>
      <c r="B1" s="4" t="s">
        <v>1</v>
      </c>
      <c r="C1" s="4" t="s">
        <v>1</v>
      </c>
      <c r="D1" s="4" t="s">
        <v>1</v>
      </c>
      <c r="E1" s="5" t="s">
        <v>2</v>
      </c>
      <c r="F1" s="6" t="s"/>
      <c r="G1" s="6" t="s"/>
      <c r="H1" s="6" t="s"/>
      <c r="I1" s="6" t="s"/>
      <c r="J1" s="6" t="s"/>
      <c r="K1" s="6" t="s"/>
      <c r="L1" s="7" t="s">
        <v>1</v>
      </c>
      <c r="M1" s="5" t="s">
        <v>3</v>
      </c>
      <c r="N1" s="6" t="s"/>
      <c r="O1" s="6" t="s"/>
      <c r="P1" s="6" t="s"/>
      <c r="Q1" s="6" t="s"/>
      <c r="R1" s="6" t="s"/>
      <c r="S1" s="6" t="s"/>
      <c r="T1" s="7" t="s">
        <v>1</v>
      </c>
      <c r="U1" s="5" t="s">
        <v>4</v>
      </c>
      <c r="V1" s="6" t="s"/>
      <c r="W1" s="6" t="s"/>
      <c r="X1" s="6" t="s"/>
      <c r="Y1" s="6" t="s"/>
      <c r="Z1" s="6" t="s"/>
      <c r="AA1" s="6" t="s"/>
      <c r="AB1" s="7" t="s">
        <v>1</v>
      </c>
      <c r="AC1" s="5" t="s">
        <v>5</v>
      </c>
      <c r="AD1" s="6" t="s"/>
      <c r="AE1" s="6" t="s"/>
      <c r="AF1" s="6" t="s"/>
      <c r="AG1" s="6" t="s"/>
      <c r="AH1" s="6" t="s"/>
      <c r="AI1" s="6" t="s"/>
      <c r="AJ1" s="7" t="s">
        <v>1</v>
      </c>
      <c r="AK1" s="5" t="s">
        <v>6</v>
      </c>
      <c r="AL1" s="6" t="s"/>
      <c r="AM1" s="6" t="s"/>
      <c r="AN1" s="6" t="s"/>
      <c r="AO1" s="6" t="s"/>
      <c r="AP1" s="6" t="s"/>
      <c r="AQ1" s="6" t="s"/>
      <c r="AR1" s="7" t="s">
        <v>1</v>
      </c>
      <c r="AS1" s="5" t="s">
        <v>7</v>
      </c>
      <c r="AT1" s="6" t="s"/>
      <c r="AU1" s="6" t="s"/>
      <c r="AV1" s="6" t="s"/>
      <c r="AW1" s="6" t="s"/>
      <c r="AX1" s="6" t="s"/>
      <c r="AY1" s="6" t="s"/>
      <c r="AZ1" s="7" t="s">
        <v>1</v>
      </c>
      <c r="BA1" s="5" t="s">
        <v>8</v>
      </c>
      <c r="BB1" s="6" t="s"/>
      <c r="BC1" s="6" t="s"/>
      <c r="BD1" s="6" t="s"/>
      <c r="BE1" s="6" t="s"/>
      <c r="BF1" s="6" t="s"/>
      <c r="BG1" s="6" t="s"/>
      <c r="BH1" s="7" t="s">
        <v>1</v>
      </c>
      <c r="BI1" s="5" t="s">
        <v>9</v>
      </c>
      <c r="BJ1" s="6" t="s"/>
      <c r="BK1" s="6" t="s"/>
      <c r="BL1" s="6" t="s"/>
      <c r="BM1" s="6" t="s"/>
      <c r="BN1" s="6" t="s"/>
      <c r="BO1" s="6" t="s"/>
      <c r="BP1" s="7" t="s">
        <v>1</v>
      </c>
      <c r="BQ1" s="5" t="s">
        <v>10</v>
      </c>
      <c r="BR1" s="6" t="s"/>
      <c r="BS1" s="6" t="s"/>
      <c r="BT1" s="6" t="s"/>
      <c r="BU1" s="6" t="s"/>
      <c r="BV1" s="6" t="s"/>
      <c r="BW1" s="6" t="s"/>
      <c r="BX1" s="7" t="s">
        <v>1</v>
      </c>
      <c r="BY1" s="5" t="s">
        <v>11</v>
      </c>
      <c r="BZ1" s="6" t="s"/>
      <c r="CA1" s="6" t="s"/>
      <c r="CB1" s="6" t="s"/>
      <c r="CC1" s="6" t="s"/>
      <c r="CD1" s="6" t="s"/>
      <c r="CE1" s="6" t="s"/>
      <c r="CF1" s="8" t="s">
        <v>1</v>
      </c>
    </row>
    <row r="2" spans="1:84" ht="15" customHeight="true">
      <c r="A2" s="9" t="s">
        <v>1</v>
      </c>
      <c r="B2" s="10" t="s">
        <v>1</v>
      </c>
      <c r="C2" s="10" t="s">
        <v>1</v>
      </c>
      <c r="D2" s="11" t="s">
        <v>1</v>
      </c>
      <c r="E2" s="12" t="s">
        <v>12</v>
      </c>
      <c r="F2" s="6" t="s"/>
      <c r="G2" s="6" t="s"/>
      <c r="H2" s="6" t="s"/>
      <c r="I2" s="13" t="s">
        <v>13</v>
      </c>
      <c r="J2" s="6" t="s"/>
      <c r="K2" s="6" t="s"/>
      <c r="L2" s="10" t="s">
        <v>1</v>
      </c>
      <c r="M2" s="12" t="s">
        <v>12</v>
      </c>
      <c r="N2" s="6" t="s"/>
      <c r="O2" s="6" t="s"/>
      <c r="P2" s="6" t="s"/>
      <c r="Q2" s="13" t="s">
        <v>13</v>
      </c>
      <c r="R2" s="6" t="s"/>
      <c r="S2" s="6" t="s"/>
      <c r="T2" s="10" t="s">
        <v>1</v>
      </c>
      <c r="U2" s="12" t="s">
        <v>12</v>
      </c>
      <c r="V2" s="6" t="s"/>
      <c r="W2" s="6" t="s"/>
      <c r="X2" s="6" t="s"/>
      <c r="Y2" s="13" t="s">
        <v>13</v>
      </c>
      <c r="Z2" s="6" t="s"/>
      <c r="AA2" s="6" t="s"/>
      <c r="AB2" s="10" t="s">
        <v>1</v>
      </c>
      <c r="AC2" s="12" t="s">
        <v>12</v>
      </c>
      <c r="AD2" s="6" t="s"/>
      <c r="AE2" s="6" t="s"/>
      <c r="AF2" s="6" t="s"/>
      <c r="AG2" s="13" t="s">
        <v>13</v>
      </c>
      <c r="AH2" s="6" t="s"/>
      <c r="AI2" s="6" t="s"/>
      <c r="AJ2" s="10" t="s">
        <v>1</v>
      </c>
      <c r="AK2" s="12" t="s">
        <v>12</v>
      </c>
      <c r="AL2" s="6" t="s"/>
      <c r="AM2" s="6" t="s"/>
      <c r="AN2" s="6" t="s"/>
      <c r="AO2" s="13" t="s">
        <v>13</v>
      </c>
      <c r="AP2" s="6" t="s"/>
      <c r="AQ2" s="6" t="s"/>
      <c r="AR2" s="10" t="s">
        <v>1</v>
      </c>
      <c r="AS2" s="12" t="s">
        <v>12</v>
      </c>
      <c r="AT2" s="6" t="s"/>
      <c r="AU2" s="6" t="s"/>
      <c r="AV2" s="6" t="s"/>
      <c r="AW2" s="13" t="s">
        <v>13</v>
      </c>
      <c r="AX2" s="6" t="s"/>
      <c r="AY2" s="6" t="s"/>
      <c r="AZ2" s="10" t="s">
        <v>1</v>
      </c>
      <c r="BA2" s="12" t="s">
        <v>12</v>
      </c>
      <c r="BB2" s="6" t="s"/>
      <c r="BC2" s="6" t="s"/>
      <c r="BD2" s="6" t="s"/>
      <c r="BE2" s="13" t="s">
        <v>13</v>
      </c>
      <c r="BF2" s="6" t="s"/>
      <c r="BG2" s="6" t="s"/>
      <c r="BH2" s="10" t="s">
        <v>1</v>
      </c>
      <c r="BI2" s="12" t="s">
        <v>12</v>
      </c>
      <c r="BJ2" s="6" t="s"/>
      <c r="BK2" s="6" t="s"/>
      <c r="BL2" s="6" t="s"/>
      <c r="BM2" s="13" t="s">
        <v>13</v>
      </c>
      <c r="BN2" s="6" t="s"/>
      <c r="BO2" s="6" t="s"/>
      <c r="BP2" s="10" t="s">
        <v>1</v>
      </c>
      <c r="BQ2" s="12" t="s">
        <v>12</v>
      </c>
      <c r="BR2" s="6" t="s"/>
      <c r="BS2" s="6" t="s"/>
      <c r="BT2" s="6" t="s"/>
      <c r="BU2" s="13" t="s">
        <v>13</v>
      </c>
      <c r="BV2" s="6" t="s"/>
      <c r="BW2" s="6" t="s"/>
      <c r="BX2" s="10" t="s">
        <v>1</v>
      </c>
      <c r="BY2" s="12" t="s">
        <v>12</v>
      </c>
      <c r="BZ2" s="6" t="s"/>
      <c r="CA2" s="6" t="s"/>
      <c r="CB2" s="6" t="s"/>
      <c r="CC2" s="13" t="s">
        <v>13</v>
      </c>
      <c r="CD2" s="6" t="s"/>
      <c r="CE2" s="6" t="s"/>
      <c r="CF2" s="10" t="s">
        <v>1</v>
      </c>
    </row>
    <row r="3" spans="1:84" ht="27" customHeight="true">
      <c r="A3" s="14" t="s">
        <v>155</v>
      </c>
      <c r="B3" s="14" t="s">
        <v>156</v>
      </c>
      <c r="C3" s="14" t="s">
        <v>157</v>
      </c>
      <c r="D3" s="15" t="s">
        <v>14</v>
      </c>
      <c r="E3" s="16" t="s">
        <v>15</v>
      </c>
      <c r="F3" s="16" t="s">
        <v>16</v>
      </c>
      <c r="G3" s="16" t="s">
        <v>17</v>
      </c>
      <c r="H3" s="16" t="s">
        <v>18</v>
      </c>
      <c r="I3" s="16" t="s">
        <v>19</v>
      </c>
      <c r="J3" s="16" t="s">
        <v>20</v>
      </c>
      <c r="K3" s="16" t="s">
        <v>21</v>
      </c>
      <c r="L3" s="17" t="s">
        <v>22</v>
      </c>
      <c r="M3" s="16" t="s">
        <v>23</v>
      </c>
      <c r="N3" s="16" t="s">
        <v>119</v>
      </c>
      <c r="O3" s="16" t="s">
        <v>25</v>
      </c>
      <c r="P3" s="16" t="s">
        <v>26</v>
      </c>
      <c r="Q3" s="16" t="s">
        <v>27</v>
      </c>
      <c r="R3" s="16" t="s">
        <v>28</v>
      </c>
      <c r="S3" s="16" t="s">
        <v>29</v>
      </c>
      <c r="T3" s="17" t="s">
        <v>30</v>
      </c>
      <c r="U3" s="16" t="s">
        <v>31</v>
      </c>
      <c r="V3" s="16" t="s">
        <v>32</v>
      </c>
      <c r="W3" s="16" t="s">
        <v>33</v>
      </c>
      <c r="X3" s="16" t="s">
        <v>34</v>
      </c>
      <c r="Y3" s="16" t="s">
        <v>35</v>
      </c>
      <c r="Z3" s="16" t="s">
        <v>36</v>
      </c>
      <c r="AA3" s="16" t="s">
        <v>37</v>
      </c>
      <c r="AB3" s="17" t="s">
        <v>38</v>
      </c>
      <c r="AC3" s="16" t="s">
        <v>39</v>
      </c>
      <c r="AD3" s="16" t="s">
        <v>40</v>
      </c>
      <c r="AE3" s="16" t="s">
        <v>41</v>
      </c>
      <c r="AF3" s="16" t="s">
        <v>42</v>
      </c>
      <c r="AG3" s="16" t="s">
        <v>43</v>
      </c>
      <c r="AH3" s="16" t="s">
        <v>44</v>
      </c>
      <c r="AI3" s="16" t="s">
        <v>45</v>
      </c>
      <c r="AJ3" s="17" t="s">
        <v>46</v>
      </c>
      <c r="AK3" s="16" t="s">
        <v>47</v>
      </c>
      <c r="AL3" s="16" t="s">
        <v>48</v>
      </c>
      <c r="AM3" s="16" t="s">
        <v>49</v>
      </c>
      <c r="AN3" s="16" t="s">
        <v>50</v>
      </c>
      <c r="AO3" s="16" t="s">
        <v>51</v>
      </c>
      <c r="AP3" s="16" t="s">
        <v>52</v>
      </c>
      <c r="AQ3" s="16" t="s">
        <v>53</v>
      </c>
      <c r="AR3" s="17" t="s">
        <v>54</v>
      </c>
      <c r="AS3" s="16" t="s">
        <v>55</v>
      </c>
      <c r="AT3" s="16" t="s">
        <v>56</v>
      </c>
      <c r="AU3" s="16" t="s">
        <v>57</v>
      </c>
      <c r="AV3" s="16" t="s">
        <v>58</v>
      </c>
      <c r="AW3" s="16" t="s">
        <v>59</v>
      </c>
      <c r="AX3" s="16" t="s">
        <v>60</v>
      </c>
      <c r="AY3" s="16" t="s">
        <v>61</v>
      </c>
      <c r="AZ3" s="17" t="s">
        <v>62</v>
      </c>
      <c r="BA3" s="16" t="s">
        <v>63</v>
      </c>
      <c r="BB3" s="16" t="s">
        <v>64</v>
      </c>
      <c r="BC3" s="16" t="s">
        <v>65</v>
      </c>
      <c r="BD3" s="16" t="s">
        <v>66</v>
      </c>
      <c r="BE3" s="16" t="s">
        <v>67</v>
      </c>
      <c r="BF3" s="16" t="s">
        <v>68</v>
      </c>
      <c r="BG3" s="16" t="s">
        <v>69</v>
      </c>
      <c r="BH3" s="17" t="s">
        <v>70</v>
      </c>
      <c r="BI3" s="16" t="s">
        <v>71</v>
      </c>
      <c r="BJ3" s="16" t="s">
        <v>72</v>
      </c>
      <c r="BK3" s="16" t="s">
        <v>73</v>
      </c>
      <c r="BL3" s="16" t="s">
        <v>74</v>
      </c>
      <c r="BM3" s="16" t="s">
        <v>75</v>
      </c>
      <c r="BN3" s="16" t="s">
        <v>76</v>
      </c>
      <c r="BO3" s="16" t="s">
        <v>77</v>
      </c>
      <c r="BP3" s="17" t="s">
        <v>78</v>
      </c>
      <c r="BQ3" s="16" t="s">
        <v>79</v>
      </c>
      <c r="BR3" s="16" t="s">
        <v>80</v>
      </c>
      <c r="BS3" s="16" t="s">
        <v>81</v>
      </c>
      <c r="BT3" s="16" t="s">
        <v>82</v>
      </c>
      <c r="BU3" s="16" t="s">
        <v>83</v>
      </c>
      <c r="BV3" s="16" t="s">
        <v>84</v>
      </c>
      <c r="BW3" s="16" t="s">
        <v>85</v>
      </c>
      <c r="BX3" s="17" t="s">
        <v>86</v>
      </c>
      <c r="BY3" s="16" t="s">
        <v>87</v>
      </c>
      <c r="BZ3" s="16" t="s">
        <v>88</v>
      </c>
      <c r="CA3" s="16" t="s">
        <v>89</v>
      </c>
      <c r="CB3" s="16" t="s">
        <v>90</v>
      </c>
      <c r="CC3" s="16" t="s">
        <v>91</v>
      </c>
      <c r="CD3" s="16" t="s">
        <v>92</v>
      </c>
      <c r="CE3" s="16" t="s">
        <v>93</v>
      </c>
      <c r="CF3" s="18" t="s">
        <v>94</v>
      </c>
    </row>
    <row r="4" spans="1:84" hidden="true">
      <c r="A4" s="19">
        <v>1</v>
      </c>
      <c r="B4" s="20" t="s">
        <v>158</v>
      </c>
      <c r="C4" s="20" t="s">
        <v>95</v>
      </c>
      <c r="D4" s="20" t="s">
        <v>96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2">
        <v>0</v>
      </c>
      <c r="M4" s="21">
        <v>0</v>
      </c>
      <c r="N4" s="21">
        <v>2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2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2">
        <v>0</v>
      </c>
      <c r="AC4" s="21">
        <v>0</v>
      </c>
      <c r="AD4" s="21">
        <v>2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2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2">
        <v>0</v>
      </c>
      <c r="AS4" s="21">
        <v>0</v>
      </c>
      <c r="AT4" s="21">
        <v>0</v>
      </c>
      <c r="AU4" s="21">
        <v>0</v>
      </c>
      <c r="AV4" s="21">
        <v>0</v>
      </c>
      <c r="AW4" s="21">
        <v>0</v>
      </c>
      <c r="AX4" s="21">
        <v>0</v>
      </c>
      <c r="AY4" s="21">
        <v>0</v>
      </c>
      <c r="AZ4" s="22">
        <v>0</v>
      </c>
      <c r="BA4" s="21">
        <v>0</v>
      </c>
      <c r="BB4" s="21">
        <v>0</v>
      </c>
      <c r="BC4" s="21">
        <v>0</v>
      </c>
      <c r="BD4" s="21">
        <v>0</v>
      </c>
      <c r="BE4" s="21">
        <v>0</v>
      </c>
      <c r="BF4" s="21">
        <v>0</v>
      </c>
      <c r="BG4" s="21">
        <v>0</v>
      </c>
      <c r="BH4" s="22">
        <v>0</v>
      </c>
      <c r="BI4" s="21">
        <v>0</v>
      </c>
      <c r="BJ4" s="21">
        <v>0</v>
      </c>
      <c r="BK4" s="21">
        <v>0</v>
      </c>
      <c r="BL4" s="21">
        <v>0</v>
      </c>
      <c r="BM4" s="21">
        <v>0</v>
      </c>
      <c r="BN4" s="21">
        <v>0</v>
      </c>
      <c r="BO4" s="21">
        <v>0</v>
      </c>
      <c r="BP4" s="22">
        <v>0</v>
      </c>
      <c r="BQ4" s="21">
        <v>0</v>
      </c>
      <c r="BR4" s="21">
        <v>0</v>
      </c>
      <c r="BS4" s="21">
        <v>0</v>
      </c>
      <c r="BT4" s="21">
        <v>0</v>
      </c>
      <c r="BU4" s="21">
        <v>0</v>
      </c>
      <c r="BV4" s="21">
        <v>0</v>
      </c>
      <c r="BW4" s="21">
        <v>0</v>
      </c>
      <c r="BX4" s="22">
        <v>0</v>
      </c>
      <c r="BY4" s="21">
        <v>0</v>
      </c>
      <c r="BZ4" s="21">
        <v>0</v>
      </c>
      <c r="CA4" s="21">
        <v>0</v>
      </c>
      <c r="CB4" s="21">
        <v>0</v>
      </c>
      <c r="CC4" s="21">
        <v>0</v>
      </c>
      <c r="CD4" s="21">
        <v>0</v>
      </c>
      <c r="CE4" s="21">
        <v>0</v>
      </c>
      <c r="CF4" s="22">
        <v>0</v>
      </c>
    </row>
    <row r="5" spans="1:84" hidden="true">
      <c r="A5" s="19">
        <v>2</v>
      </c>
      <c r="B5" s="20" t="s">
        <v>159</v>
      </c>
      <c r="C5" s="20" t="s">
        <v>95</v>
      </c>
      <c r="D5" s="20" t="s">
        <v>96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2">
        <v>0</v>
      </c>
      <c r="M5" s="21">
        <v>0</v>
      </c>
      <c r="N5" s="21">
        <v>2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2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2">
        <v>0</v>
      </c>
      <c r="AC5" s="21">
        <v>0</v>
      </c>
      <c r="AD5" s="21">
        <v>0</v>
      </c>
      <c r="AE5" s="21">
        <v>0</v>
      </c>
      <c r="AF5" s="21">
        <v>0</v>
      </c>
      <c r="AG5" s="21">
        <v>5</v>
      </c>
      <c r="AH5" s="21">
        <v>0</v>
      </c>
      <c r="AI5" s="21">
        <v>0</v>
      </c>
      <c r="AJ5" s="22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2">
        <v>0</v>
      </c>
      <c r="AS5" s="21">
        <v>0</v>
      </c>
      <c r="AT5" s="21">
        <v>0</v>
      </c>
      <c r="AU5" s="21">
        <v>0</v>
      </c>
      <c r="AV5" s="21">
        <v>0</v>
      </c>
      <c r="AW5" s="21">
        <v>0</v>
      </c>
      <c r="AX5" s="21">
        <v>0</v>
      </c>
      <c r="AY5" s="21">
        <v>0</v>
      </c>
      <c r="AZ5" s="22">
        <v>0</v>
      </c>
      <c r="BA5" s="21">
        <v>0</v>
      </c>
      <c r="BB5" s="21">
        <v>0</v>
      </c>
      <c r="BC5" s="21">
        <v>0</v>
      </c>
      <c r="BD5" s="21">
        <v>0</v>
      </c>
      <c r="BE5" s="21">
        <v>0</v>
      </c>
      <c r="BF5" s="21">
        <v>0</v>
      </c>
      <c r="BG5" s="21">
        <v>0</v>
      </c>
      <c r="BH5" s="22">
        <v>0</v>
      </c>
      <c r="BI5" s="21">
        <v>0</v>
      </c>
      <c r="BJ5" s="21">
        <v>0</v>
      </c>
      <c r="BK5" s="21">
        <v>0</v>
      </c>
      <c r="BL5" s="21">
        <v>0</v>
      </c>
      <c r="BM5" s="21">
        <v>0</v>
      </c>
      <c r="BN5" s="21">
        <v>0</v>
      </c>
      <c r="BO5" s="21">
        <v>0</v>
      </c>
      <c r="BP5" s="22">
        <v>0</v>
      </c>
      <c r="BQ5" s="21">
        <v>0</v>
      </c>
      <c r="BR5" s="21">
        <v>0</v>
      </c>
      <c r="BS5" s="21">
        <v>0</v>
      </c>
      <c r="BT5" s="21">
        <v>0</v>
      </c>
      <c r="BU5" s="21">
        <v>0</v>
      </c>
      <c r="BV5" s="21">
        <v>0</v>
      </c>
      <c r="BW5" s="21">
        <v>0</v>
      </c>
      <c r="BX5" s="22">
        <v>0</v>
      </c>
      <c r="BY5" s="21">
        <v>0</v>
      </c>
      <c r="BZ5" s="21">
        <v>0</v>
      </c>
      <c r="CA5" s="21">
        <v>0</v>
      </c>
      <c r="CB5" s="21">
        <v>0</v>
      </c>
      <c r="CC5" s="21">
        <v>0</v>
      </c>
      <c r="CD5" s="21">
        <v>0</v>
      </c>
      <c r="CE5" s="21">
        <v>0</v>
      </c>
      <c r="CF5" s="22">
        <v>0</v>
      </c>
    </row>
    <row r="6" spans="1:84" hidden="true">
      <c r="A6" s="19">
        <v>3</v>
      </c>
      <c r="B6" s="20" t="s">
        <v>160</v>
      </c>
      <c r="C6" s="20" t="s">
        <v>97</v>
      </c>
      <c r="D6" s="20" t="s">
        <v>96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2">
        <v>0</v>
      </c>
      <c r="M6" s="21">
        <v>0</v>
      </c>
      <c r="N6" s="21">
        <v>2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2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2">
        <v>0</v>
      </c>
      <c r="AC6" s="21">
        <v>0</v>
      </c>
      <c r="AD6" s="21">
        <v>2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2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2">
        <v>0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2">
        <v>0</v>
      </c>
      <c r="BA6" s="21">
        <v>0</v>
      </c>
      <c r="BB6" s="21">
        <v>0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H6" s="22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  <c r="BP6" s="22">
        <v>0</v>
      </c>
      <c r="BQ6" s="21">
        <v>0</v>
      </c>
      <c r="BR6" s="21">
        <v>0</v>
      </c>
      <c r="BS6" s="21">
        <v>0</v>
      </c>
      <c r="BT6" s="21">
        <v>0</v>
      </c>
      <c r="BU6" s="21">
        <v>0</v>
      </c>
      <c r="BV6" s="21">
        <v>0</v>
      </c>
      <c r="BW6" s="21">
        <v>0</v>
      </c>
      <c r="BX6" s="22">
        <v>0</v>
      </c>
      <c r="BY6" s="21">
        <v>0</v>
      </c>
      <c r="BZ6" s="21">
        <v>0</v>
      </c>
      <c r="CA6" s="21">
        <v>0</v>
      </c>
      <c r="CB6" s="21">
        <v>0</v>
      </c>
      <c r="CC6" s="21">
        <v>0</v>
      </c>
      <c r="CD6" s="21">
        <v>0</v>
      </c>
      <c r="CE6" s="21">
        <v>0</v>
      </c>
      <c r="CF6" s="22">
        <v>0</v>
      </c>
    </row>
    <row r="7" spans="1:84" hidden="true">
      <c r="A7" s="19">
        <v>4</v>
      </c>
      <c r="B7" s="20" t="s">
        <v>161</v>
      </c>
      <c r="C7" s="20" t="s">
        <v>97</v>
      </c>
      <c r="D7" s="20" t="s">
        <v>96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2">
        <v>0</v>
      </c>
      <c r="M7" s="21">
        <v>0</v>
      </c>
      <c r="N7" s="21">
        <v>2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2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2">
        <v>0</v>
      </c>
      <c r="AC7" s="21">
        <v>0</v>
      </c>
      <c r="AD7" s="21">
        <v>2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2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2">
        <v>0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>
        <v>0</v>
      </c>
      <c r="AY7" s="21">
        <v>0</v>
      </c>
      <c r="AZ7" s="22">
        <v>0</v>
      </c>
      <c r="BA7" s="21">
        <v>0</v>
      </c>
      <c r="BB7" s="21">
        <v>0</v>
      </c>
      <c r="BC7" s="21">
        <v>0</v>
      </c>
      <c r="BD7" s="21">
        <v>0</v>
      </c>
      <c r="BE7" s="21">
        <v>0</v>
      </c>
      <c r="BF7" s="21">
        <v>0</v>
      </c>
      <c r="BG7" s="21">
        <v>0</v>
      </c>
      <c r="BH7" s="22">
        <v>0</v>
      </c>
      <c r="BI7" s="21">
        <v>0</v>
      </c>
      <c r="BJ7" s="21">
        <v>0</v>
      </c>
      <c r="BK7" s="21">
        <v>0</v>
      </c>
      <c r="BL7" s="21">
        <v>0</v>
      </c>
      <c r="BM7" s="21">
        <v>0</v>
      </c>
      <c r="BN7" s="21">
        <v>0</v>
      </c>
      <c r="BO7" s="21">
        <v>0</v>
      </c>
      <c r="BP7" s="22">
        <v>0</v>
      </c>
      <c r="BQ7" s="21">
        <v>0</v>
      </c>
      <c r="BR7" s="21">
        <v>0</v>
      </c>
      <c r="BS7" s="21">
        <v>0</v>
      </c>
      <c r="BT7" s="21">
        <v>0</v>
      </c>
      <c r="BU7" s="21">
        <v>0</v>
      </c>
      <c r="BV7" s="21">
        <v>0</v>
      </c>
      <c r="BW7" s="21">
        <v>0</v>
      </c>
      <c r="BX7" s="22">
        <v>0</v>
      </c>
      <c r="BY7" s="21">
        <v>0</v>
      </c>
      <c r="BZ7" s="21">
        <v>0</v>
      </c>
      <c r="CA7" s="21">
        <v>0</v>
      </c>
      <c r="CB7" s="21">
        <v>0</v>
      </c>
      <c r="CC7" s="21">
        <v>0</v>
      </c>
      <c r="CD7" s="21">
        <v>0</v>
      </c>
      <c r="CE7" s="21">
        <v>0</v>
      </c>
      <c r="CF7" s="22">
        <v>0</v>
      </c>
    </row>
    <row r="8" spans="1:84">
      <c r="A8" s="23">
        <v>5</v>
      </c>
      <c r="B8" s="24" t="s">
        <v>162</v>
      </c>
      <c r="C8" s="24" t="s">
        <v>97</v>
      </c>
      <c r="D8" s="24" t="s">
        <v>98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2">
        <v>0</v>
      </c>
      <c r="M8" s="21">
        <v>0</v>
      </c>
      <c r="N8" s="21">
        <v>5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2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2">
        <v>0</v>
      </c>
      <c r="AC8" s="21">
        <v>0</v>
      </c>
      <c r="AD8" s="21">
        <v>2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2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2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2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2">
        <v>0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  <c r="BO8" s="21">
        <v>0</v>
      </c>
      <c r="BP8" s="22">
        <v>0</v>
      </c>
      <c r="BQ8" s="21">
        <v>0</v>
      </c>
      <c r="BR8" s="21">
        <v>0</v>
      </c>
      <c r="BS8" s="21">
        <v>0</v>
      </c>
      <c r="BT8" s="21">
        <v>0</v>
      </c>
      <c r="BU8" s="21">
        <v>0</v>
      </c>
      <c r="BV8" s="21">
        <v>0</v>
      </c>
      <c r="BW8" s="21">
        <v>0</v>
      </c>
      <c r="BX8" s="22">
        <v>0</v>
      </c>
      <c r="BY8" s="21">
        <v>0</v>
      </c>
      <c r="BZ8" s="21">
        <v>0</v>
      </c>
      <c r="CA8" s="21">
        <v>0</v>
      </c>
      <c r="CB8" s="21">
        <v>0</v>
      </c>
      <c r="CC8" s="21">
        <v>0</v>
      </c>
      <c r="CD8" s="21">
        <v>0</v>
      </c>
      <c r="CE8" s="21">
        <v>0</v>
      </c>
      <c r="CF8" s="22">
        <v>0</v>
      </c>
    </row>
    <row r="9" spans="1:84">
      <c r="A9" s="23">
        <v>6</v>
      </c>
      <c r="B9" s="24" t="s">
        <v>163</v>
      </c>
      <c r="C9" s="24" t="s">
        <v>97</v>
      </c>
      <c r="D9" s="24" t="s">
        <v>98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2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2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2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2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2">
        <v>0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1">
        <v>0</v>
      </c>
      <c r="AZ9" s="22">
        <v>0</v>
      </c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F9" s="21">
        <v>0</v>
      </c>
      <c r="BG9" s="21">
        <v>0</v>
      </c>
      <c r="BH9" s="22">
        <v>0</v>
      </c>
      <c r="BI9" s="21">
        <v>0</v>
      </c>
      <c r="BJ9" s="21">
        <v>0</v>
      </c>
      <c r="BK9" s="21">
        <v>0</v>
      </c>
      <c r="BL9" s="21">
        <v>0</v>
      </c>
      <c r="BM9" s="21">
        <v>0</v>
      </c>
      <c r="BN9" s="21">
        <v>0</v>
      </c>
      <c r="BO9" s="21">
        <v>0</v>
      </c>
      <c r="BP9" s="22">
        <v>0</v>
      </c>
      <c r="BQ9" s="21">
        <v>0</v>
      </c>
      <c r="BR9" s="21">
        <v>0</v>
      </c>
      <c r="BS9" s="21">
        <v>0</v>
      </c>
      <c r="BT9" s="21">
        <v>0</v>
      </c>
      <c r="BU9" s="21">
        <v>0</v>
      </c>
      <c r="BV9" s="21">
        <v>0</v>
      </c>
      <c r="BW9" s="21">
        <v>0</v>
      </c>
      <c r="BX9" s="22">
        <v>0</v>
      </c>
      <c r="BY9" s="21">
        <v>0</v>
      </c>
      <c r="BZ9" s="21">
        <v>0</v>
      </c>
      <c r="CA9" s="21">
        <v>0</v>
      </c>
      <c r="CB9" s="21">
        <v>0</v>
      </c>
      <c r="CC9" s="21">
        <v>0</v>
      </c>
      <c r="CD9" s="21">
        <v>0</v>
      </c>
      <c r="CE9" s="21">
        <v>0</v>
      </c>
      <c r="CF9" s="22">
        <v>0</v>
      </c>
    </row>
    <row r="10" spans="1:84">
      <c r="A10" s="23">
        <v>7</v>
      </c>
      <c r="B10" s="24" t="s">
        <v>164</v>
      </c>
      <c r="C10" s="24" t="s">
        <v>99</v>
      </c>
      <c r="D10" s="24" t="s">
        <v>98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2">
        <v>0</v>
      </c>
      <c r="M10" s="21">
        <v>0</v>
      </c>
      <c r="N10" s="21">
        <v>5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2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2">
        <v>0</v>
      </c>
      <c r="AC10" s="21">
        <v>0</v>
      </c>
      <c r="AD10" s="21">
        <v>2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2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2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2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2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  <c r="BO10" s="21">
        <v>0</v>
      </c>
      <c r="BP10" s="22">
        <v>0</v>
      </c>
      <c r="BQ10" s="21">
        <v>0</v>
      </c>
      <c r="BR10" s="21">
        <v>0</v>
      </c>
      <c r="BS10" s="21">
        <v>0</v>
      </c>
      <c r="BT10" s="21">
        <v>0</v>
      </c>
      <c r="BU10" s="21">
        <v>0</v>
      </c>
      <c r="BV10" s="21">
        <v>0</v>
      </c>
      <c r="BW10" s="21">
        <v>0</v>
      </c>
      <c r="BX10" s="22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2">
        <v>0</v>
      </c>
    </row>
    <row r="11" spans="1:84" hidden="true">
      <c r="A11" s="25">
        <v>8</v>
      </c>
      <c r="B11" s="26" t="s">
        <v>165</v>
      </c>
      <c r="C11" s="26" t="s">
        <v>99</v>
      </c>
      <c r="D11" s="26" t="s">
        <v>100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2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2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2">
        <v>0</v>
      </c>
      <c r="AC11" s="21">
        <v>0</v>
      </c>
      <c r="AD11" s="21">
        <v>4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2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2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2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2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2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2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2">
        <v>0</v>
      </c>
    </row>
    <row r="12" spans="1:84" hidden="true">
      <c r="A12" s="25">
        <v>9</v>
      </c>
      <c r="B12" s="26" t="s">
        <v>166</v>
      </c>
      <c r="C12" s="26" t="s">
        <v>99</v>
      </c>
      <c r="D12" s="26" t="s">
        <v>100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2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2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2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2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2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2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2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2">
        <v>0</v>
      </c>
      <c r="BQ12" s="21">
        <v>0</v>
      </c>
      <c r="BR12" s="21">
        <v>0</v>
      </c>
      <c r="BS12" s="21">
        <v>0</v>
      </c>
      <c r="BT12" s="21">
        <v>0</v>
      </c>
      <c r="BU12" s="21">
        <v>0</v>
      </c>
      <c r="BV12" s="21">
        <v>0</v>
      </c>
      <c r="BW12" s="21">
        <v>0</v>
      </c>
      <c r="BX12" s="22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2">
        <v>0</v>
      </c>
    </row>
    <row r="13" spans="1:84" hidden="true">
      <c r="A13" s="25">
        <v>10</v>
      </c>
      <c r="B13" s="26" t="s">
        <v>167</v>
      </c>
      <c r="C13" s="26" t="s">
        <v>101</v>
      </c>
      <c r="D13" s="26" t="s">
        <v>100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2">
        <v>0</v>
      </c>
      <c r="M13" s="21">
        <v>0</v>
      </c>
      <c r="N13" s="21">
        <v>1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2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2">
        <v>0</v>
      </c>
      <c r="AC13" s="21">
        <v>0</v>
      </c>
      <c r="AD13" s="21">
        <v>4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2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2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2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2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v>0</v>
      </c>
      <c r="BO13" s="21">
        <v>0</v>
      </c>
      <c r="BP13" s="22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2">
        <v>0</v>
      </c>
      <c r="BY13" s="21">
        <v>0</v>
      </c>
      <c r="BZ13" s="21"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2">
        <v>0</v>
      </c>
    </row>
    <row r="14" spans="1:84" hidden="true">
      <c r="A14" s="27">
        <v>11</v>
      </c>
      <c r="B14" s="28" t="s">
        <v>168</v>
      </c>
      <c r="C14" s="28" t="s">
        <v>101</v>
      </c>
      <c r="D14" s="28" t="s">
        <v>102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2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2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2">
        <v>0</v>
      </c>
      <c r="AC14" s="21">
        <v>0</v>
      </c>
      <c r="AD14" s="21">
        <v>3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2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2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2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2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  <c r="BO14" s="21">
        <v>0</v>
      </c>
      <c r="BP14" s="22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2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2">
        <v>0</v>
      </c>
    </row>
    <row r="15" spans="1:84" hidden="true">
      <c r="A15" s="27">
        <v>12</v>
      </c>
      <c r="B15" s="28" t="s">
        <v>169</v>
      </c>
      <c r="C15" s="28" t="s">
        <v>101</v>
      </c>
      <c r="D15" s="28" t="s">
        <v>102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2">
        <v>0</v>
      </c>
      <c r="M15" s="21">
        <v>0</v>
      </c>
      <c r="N15" s="21">
        <v>2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2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2">
        <v>0</v>
      </c>
      <c r="AC15" s="21">
        <v>0</v>
      </c>
      <c r="AD15" s="21">
        <v>3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2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2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2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2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2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2">
        <v>0</v>
      </c>
      <c r="BY15" s="21">
        <v>0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2">
        <v>0</v>
      </c>
    </row>
    <row r="16" spans="1:84" hidden="true">
      <c r="A16" s="27">
        <v>13</v>
      </c>
      <c r="B16" s="28" t="s">
        <v>170</v>
      </c>
      <c r="C16" s="28" t="s">
        <v>103</v>
      </c>
      <c r="D16" s="28" t="s">
        <v>102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2">
        <v>0</v>
      </c>
      <c r="M16" s="21">
        <v>0</v>
      </c>
      <c r="N16" s="21">
        <v>2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2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2">
        <v>0</v>
      </c>
      <c r="AC16" s="21">
        <v>0</v>
      </c>
      <c r="AD16" s="21">
        <v>3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2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2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2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2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2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2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2">
        <v>0</v>
      </c>
    </row>
    <row r="17" spans="1:84" hidden="true">
      <c r="A17" s="19">
        <v>14</v>
      </c>
      <c r="B17" s="20" t="s">
        <v>171</v>
      </c>
      <c r="C17" s="20" t="s">
        <v>104</v>
      </c>
      <c r="D17" s="20" t="s">
        <v>96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2">
        <v>0</v>
      </c>
      <c r="M17" s="21">
        <v>0</v>
      </c>
      <c r="N17" s="21">
        <v>2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2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2">
        <v>0</v>
      </c>
      <c r="AC17" s="21">
        <v>0</v>
      </c>
      <c r="AD17" s="21">
        <v>2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2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2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2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2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2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2">
        <v>0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2">
        <v>0</v>
      </c>
    </row>
    <row r="18" spans="1:84">
      <c r="A18" s="23">
        <v>15</v>
      </c>
      <c r="B18" s="24" t="s">
        <v>172</v>
      </c>
      <c r="C18" s="24" t="s">
        <v>104</v>
      </c>
      <c r="D18" s="24" t="s">
        <v>98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2">
        <v>0</v>
      </c>
      <c r="M18" s="21">
        <v>0</v>
      </c>
      <c r="N18" s="21">
        <v>5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2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2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2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2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2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2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  <c r="BO18" s="21">
        <v>0</v>
      </c>
      <c r="BP18" s="22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2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2">
        <v>0</v>
      </c>
    </row>
    <row r="19" spans="1:84">
      <c r="A19" s="23">
        <v>16</v>
      </c>
      <c r="B19" s="24" t="s">
        <v>173</v>
      </c>
      <c r="C19" s="24" t="s">
        <v>104</v>
      </c>
      <c r="D19" s="24" t="s">
        <v>98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2">
        <v>0</v>
      </c>
      <c r="M19" s="21">
        <v>0</v>
      </c>
      <c r="N19" s="21">
        <v>5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2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2">
        <v>0</v>
      </c>
      <c r="AC19" s="21">
        <v>0</v>
      </c>
      <c r="AD19" s="21">
        <v>2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2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2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2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2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2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2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2">
        <v>0</v>
      </c>
    </row>
    <row r="20" spans="1:84" hidden="true">
      <c r="A20" s="25">
        <v>17</v>
      </c>
      <c r="B20" s="26" t="s">
        <v>174</v>
      </c>
      <c r="C20" s="26" t="s">
        <v>104</v>
      </c>
      <c r="D20" s="26" t="s">
        <v>100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2">
        <v>0</v>
      </c>
      <c r="M20" s="21">
        <v>0</v>
      </c>
      <c r="N20" s="21">
        <v>1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2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2">
        <v>0</v>
      </c>
      <c r="AC20" s="21">
        <v>0</v>
      </c>
      <c r="AD20" s="21">
        <v>4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2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2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2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2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  <c r="BO20" s="21">
        <v>0</v>
      </c>
      <c r="BP20" s="22">
        <v>0</v>
      </c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21">
        <v>0</v>
      </c>
      <c r="BW20" s="21">
        <v>0</v>
      </c>
      <c r="BX20" s="22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2">
        <v>0</v>
      </c>
    </row>
    <row r="21" spans="1:84" hidden="true">
      <c r="A21" s="25">
        <v>18</v>
      </c>
      <c r="B21" s="26" t="s">
        <v>175</v>
      </c>
      <c r="C21" s="26" t="s">
        <v>104</v>
      </c>
      <c r="D21" s="26" t="s">
        <v>100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2">
        <v>0</v>
      </c>
      <c r="M21" s="21">
        <v>0</v>
      </c>
      <c r="N21" s="21">
        <v>1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2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2">
        <v>0</v>
      </c>
      <c r="AC21" s="21">
        <v>0</v>
      </c>
      <c r="AD21" s="21">
        <v>4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2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2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2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2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2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2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2">
        <v>0</v>
      </c>
    </row>
    <row r="22" spans="1:84" hidden="true">
      <c r="A22" s="27">
        <v>19</v>
      </c>
      <c r="B22" s="28" t="s">
        <v>176</v>
      </c>
      <c r="C22" s="28" t="s">
        <v>104</v>
      </c>
      <c r="D22" s="28" t="s">
        <v>102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2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2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2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2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2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2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2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P22" s="22">
        <v>0</v>
      </c>
      <c r="BQ22" s="21">
        <v>0</v>
      </c>
      <c r="BR22" s="21">
        <v>0</v>
      </c>
      <c r="BS22" s="21">
        <v>0</v>
      </c>
      <c r="BT22" s="21">
        <v>0</v>
      </c>
      <c r="BU22" s="21">
        <v>0</v>
      </c>
      <c r="BV22" s="21">
        <v>0</v>
      </c>
      <c r="BW22" s="21">
        <v>0</v>
      </c>
      <c r="BX22" s="22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2">
        <v>0</v>
      </c>
    </row>
    <row r="23" spans="1:84" hidden="true">
      <c r="A23" s="27">
        <v>20</v>
      </c>
      <c r="B23" s="28" t="s">
        <v>177</v>
      </c>
      <c r="C23" s="28" t="s">
        <v>105</v>
      </c>
      <c r="D23" s="28" t="s">
        <v>102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2">
        <v>0</v>
      </c>
      <c r="M23" s="21">
        <v>0</v>
      </c>
      <c r="N23" s="21">
        <v>2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2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2">
        <v>0</v>
      </c>
      <c r="AC23" s="21">
        <v>0</v>
      </c>
      <c r="AD23" s="21">
        <v>3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2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2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2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2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2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2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2">
        <v>0</v>
      </c>
    </row>
    <row r="24" spans="1:84" hidden="true">
      <c r="A24" s="19">
        <v>21</v>
      </c>
      <c r="B24" s="20" t="s">
        <v>178</v>
      </c>
      <c r="C24" s="20" t="s">
        <v>106</v>
      </c>
      <c r="D24" s="20" t="s">
        <v>96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2">
        <v>0</v>
      </c>
      <c r="M24" s="21">
        <v>0</v>
      </c>
      <c r="N24" s="21">
        <v>2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2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2">
        <v>0</v>
      </c>
      <c r="AC24" s="21">
        <v>0</v>
      </c>
      <c r="AD24" s="21">
        <v>2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2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2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0</v>
      </c>
      <c r="AY24" s="21">
        <v>0</v>
      </c>
      <c r="AZ24" s="22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H24" s="22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v>0</v>
      </c>
      <c r="BO24" s="21">
        <v>0</v>
      </c>
      <c r="BP24" s="22">
        <v>0</v>
      </c>
      <c r="BQ24" s="21">
        <v>0</v>
      </c>
      <c r="BR24" s="21">
        <v>0</v>
      </c>
      <c r="BS24" s="21">
        <v>0</v>
      </c>
      <c r="BT24" s="21">
        <v>0</v>
      </c>
      <c r="BU24" s="21">
        <v>0</v>
      </c>
      <c r="BV24" s="21">
        <v>0</v>
      </c>
      <c r="BW24" s="21">
        <v>0</v>
      </c>
      <c r="BX24" s="22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2">
        <v>0</v>
      </c>
    </row>
    <row r="25" spans="1:84">
      <c r="A25" s="23">
        <v>22</v>
      </c>
      <c r="B25" s="24" t="s">
        <v>179</v>
      </c>
      <c r="C25" s="24" t="s">
        <v>106</v>
      </c>
      <c r="D25" s="24" t="s">
        <v>98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2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2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2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2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2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0</v>
      </c>
      <c r="AY25" s="21">
        <v>0</v>
      </c>
      <c r="AZ25" s="22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2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2">
        <v>0</v>
      </c>
      <c r="BQ25" s="21">
        <v>0</v>
      </c>
      <c r="BR25" s="21">
        <v>0</v>
      </c>
      <c r="BS25" s="21">
        <v>0</v>
      </c>
      <c r="BT25" s="21">
        <v>0</v>
      </c>
      <c r="BU25" s="21">
        <v>0</v>
      </c>
      <c r="BV25" s="21">
        <v>0</v>
      </c>
      <c r="BW25" s="21">
        <v>0</v>
      </c>
      <c r="BX25" s="22">
        <v>0</v>
      </c>
      <c r="BY25" s="21">
        <v>0</v>
      </c>
      <c r="BZ25" s="21"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  <c r="CF25" s="22">
        <v>0</v>
      </c>
    </row>
    <row r="26" spans="1:84" hidden="true">
      <c r="A26" s="29">
        <v>23</v>
      </c>
      <c r="B26" s="26" t="s">
        <v>180</v>
      </c>
      <c r="C26" s="26" t="s">
        <v>106</v>
      </c>
      <c r="D26" s="26" t="s">
        <v>100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2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2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2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2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2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2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2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  <c r="BO26" s="21">
        <v>0</v>
      </c>
      <c r="BP26" s="22">
        <v>0</v>
      </c>
      <c r="BQ26" s="21">
        <v>0</v>
      </c>
      <c r="BR26" s="21">
        <v>0</v>
      </c>
      <c r="BS26" s="21">
        <v>0</v>
      </c>
      <c r="BT26" s="21">
        <v>0</v>
      </c>
      <c r="BU26" s="21">
        <v>0</v>
      </c>
      <c r="BV26" s="21">
        <v>0</v>
      </c>
      <c r="BW26" s="21">
        <v>0</v>
      </c>
      <c r="BX26" s="22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2">
        <v>0</v>
      </c>
    </row>
    <row r="27" spans="1:84" hidden="true">
      <c r="A27" s="27">
        <v>24</v>
      </c>
      <c r="B27" s="28" t="s">
        <v>181</v>
      </c>
      <c r="C27" s="28" t="s">
        <v>106</v>
      </c>
      <c r="D27" s="28" t="s">
        <v>102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2">
        <v>0</v>
      </c>
      <c r="M27" s="21">
        <v>0</v>
      </c>
      <c r="N27" s="21">
        <v>2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2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2">
        <v>0</v>
      </c>
      <c r="AC27" s="21">
        <v>0</v>
      </c>
      <c r="AD27" s="21">
        <v>3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2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2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2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2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2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2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2">
        <v>0</v>
      </c>
    </row>
    <row r="28" spans="1:84" hidden="true">
      <c r="A28" s="27">
        <v>25</v>
      </c>
      <c r="B28" s="28" t="s">
        <v>182</v>
      </c>
      <c r="C28" s="28" t="s">
        <v>106</v>
      </c>
      <c r="D28" s="28" t="s">
        <v>102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2">
        <v>0</v>
      </c>
      <c r="M28" s="21">
        <v>0</v>
      </c>
      <c r="N28" s="21">
        <v>2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2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2">
        <v>0</v>
      </c>
      <c r="AC28" s="21">
        <v>0</v>
      </c>
      <c r="AD28" s="21">
        <v>3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2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2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2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2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  <c r="BO28" s="21">
        <v>0</v>
      </c>
      <c r="BP28" s="22">
        <v>0</v>
      </c>
      <c r="BQ28" s="21">
        <v>0</v>
      </c>
      <c r="BR28" s="21">
        <v>0</v>
      </c>
      <c r="BS28" s="21">
        <v>0</v>
      </c>
      <c r="BT28" s="21">
        <v>0</v>
      </c>
      <c r="BU28" s="21">
        <v>0</v>
      </c>
      <c r="BV28" s="21">
        <v>0</v>
      </c>
      <c r="BW28" s="21">
        <v>0</v>
      </c>
      <c r="BX28" s="22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2">
        <v>0</v>
      </c>
    </row>
    <row r="29" spans="1:84" hidden="true">
      <c r="A29" s="29">
        <v>26</v>
      </c>
      <c r="B29" s="30" t="s">
        <v>183</v>
      </c>
      <c r="C29" s="26" t="s">
        <v>106</v>
      </c>
      <c r="D29" s="26" t="s">
        <v>100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2">
        <v>0</v>
      </c>
      <c r="M29" s="21">
        <v>0</v>
      </c>
      <c r="N29" s="21">
        <v>1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2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2">
        <v>0</v>
      </c>
      <c r="AC29" s="21">
        <v>0</v>
      </c>
      <c r="AD29" s="21">
        <v>4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2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2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2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2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2">
        <v>0</v>
      </c>
      <c r="BQ29" s="21">
        <v>0</v>
      </c>
      <c r="BR29" s="21">
        <v>0</v>
      </c>
      <c r="BS29" s="21">
        <v>0</v>
      </c>
      <c r="BT29" s="21">
        <v>0</v>
      </c>
      <c r="BU29" s="21">
        <v>0</v>
      </c>
      <c r="BV29" s="21">
        <v>0</v>
      </c>
      <c r="BW29" s="21">
        <v>0</v>
      </c>
      <c r="BX29" s="22">
        <v>0</v>
      </c>
      <c r="BY29" s="21">
        <v>0</v>
      </c>
      <c r="BZ29" s="21">
        <v>0</v>
      </c>
      <c r="CA29" s="21">
        <v>0</v>
      </c>
      <c r="CB29" s="21">
        <v>0</v>
      </c>
      <c r="CC29" s="21">
        <v>0</v>
      </c>
      <c r="CD29" s="21">
        <v>0</v>
      </c>
      <c r="CE29" s="21">
        <v>0</v>
      </c>
      <c r="CF29" s="22">
        <v>0</v>
      </c>
    </row>
    <row r="30" spans="1:84" hidden="true">
      <c r="A30" s="31">
        <v>27</v>
      </c>
      <c r="B30" s="32" t="s">
        <v>184</v>
      </c>
      <c r="C30" s="32" t="s">
        <v>106</v>
      </c>
      <c r="D30" s="32" t="s">
        <v>96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2">
        <v>0</v>
      </c>
      <c r="M30" s="21">
        <v>0</v>
      </c>
      <c r="N30" s="21">
        <v>2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2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2">
        <v>0</v>
      </c>
      <c r="AC30" s="21">
        <v>0</v>
      </c>
      <c r="AD30" s="21">
        <v>2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2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2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2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2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2">
        <v>0</v>
      </c>
      <c r="BQ30" s="21">
        <v>0</v>
      </c>
      <c r="BR30" s="21">
        <v>0</v>
      </c>
      <c r="BS30" s="21">
        <v>0</v>
      </c>
      <c r="BT30" s="21">
        <v>0</v>
      </c>
      <c r="BU30" s="21">
        <v>0</v>
      </c>
      <c r="BV30" s="21">
        <v>0</v>
      </c>
      <c r="BW30" s="21">
        <v>0</v>
      </c>
      <c r="BX30" s="22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2">
        <v>0</v>
      </c>
    </row>
  </sheetData>
  <autoFilter ref="A3:D30">
    <filterColumn colId="3">
      <filters blank="false">
        <filter val="Tesla"/>
      </filters>
    </filterColumn>
    <sortState ref="A4:D30"/>
  </autoFilter>
  <mergeCells count="30">
    <mergeCell ref="AK1:AQ1"/>
    <mergeCell ref="AK2:AN2"/>
    <mergeCell ref="AO2:AQ2"/>
    <mergeCell ref="AS1:AY1"/>
    <mergeCell ref="AS2:AV2"/>
    <mergeCell ref="AW2:AY2"/>
    <mergeCell ref="U2:X2"/>
    <mergeCell ref="Y2:AA2"/>
    <mergeCell ref="AC2:AF2"/>
    <mergeCell ref="AG2:AI2"/>
    <mergeCell ref="E2:H2"/>
    <mergeCell ref="I2:K2"/>
    <mergeCell ref="M2:P2"/>
    <mergeCell ref="Q2:S2"/>
    <mergeCell ref="BQ1:BW1"/>
    <mergeCell ref="BQ2:BT2"/>
    <mergeCell ref="BU2:BW2"/>
    <mergeCell ref="BY1:CE1"/>
    <mergeCell ref="BY2:CB2"/>
    <mergeCell ref="CC2:CE2"/>
    <mergeCell ref="BA1:BG1"/>
    <mergeCell ref="BA2:BD2"/>
    <mergeCell ref="BE2:BG2"/>
    <mergeCell ref="BI1:BO1"/>
    <mergeCell ref="BI2:BL2"/>
    <mergeCell ref="BM2:BO2"/>
    <mergeCell ref="E1:K1"/>
    <mergeCell ref="M1:S1"/>
    <mergeCell ref="U1:AA1"/>
    <mergeCell ref="AC1:AI1"/>
  </mergeCells>
  <dataValidations>
    <dataValidation type="whole" errorStyle="stop" allowBlank="true" showDropDown="false" showInputMessage="true" showErrorMessage="true" prompt="" sqref="E4:E30">
      <formula1/>
      <formula2/>
    </dataValidation>
    <dataValidation type="whole" errorStyle="stop" allowBlank="true" showDropDown="false" showInputMessage="true" showErrorMessage="true" prompt="" sqref="F4:F30">
      <formula1/>
      <formula2/>
    </dataValidation>
    <dataValidation type="whole" errorStyle="stop" allowBlank="true" showDropDown="false" showInputMessage="true" showErrorMessage="true" prompt="" sqref="G4:G30">
      <formula1/>
      <formula2/>
    </dataValidation>
    <dataValidation type="whole" errorStyle="stop" allowBlank="true" showDropDown="false" showInputMessage="true" showErrorMessage="true" prompt="" sqref="H4:H30">
      <formula1/>
      <formula2/>
    </dataValidation>
    <dataValidation type="whole" errorStyle="stop" allowBlank="true" showDropDown="false" showInputMessage="true" showErrorMessage="true" prompt="" sqref="I4:I30">
      <formula1/>
      <formula2/>
    </dataValidation>
    <dataValidation type="whole" errorStyle="stop" allowBlank="true" showDropDown="false" showInputMessage="true" showErrorMessage="true" prompt="" sqref="J4:J30">
      <formula1/>
      <formula2/>
    </dataValidation>
    <dataValidation type="whole" errorStyle="stop" allowBlank="true" showDropDown="false" showInputMessage="true" showErrorMessage="true" prompt="" sqref="K4:K30">
      <formula1/>
      <formula2/>
    </dataValidation>
    <dataValidation type="whole" errorStyle="stop" allowBlank="true" showDropDown="false" showInputMessage="true" showErrorMessage="true" prompt="" sqref="L4:L30">
      <formula1/>
      <formula2/>
    </dataValidation>
    <dataValidation type="whole" errorStyle="stop" allowBlank="true" showDropDown="false" showInputMessage="true" showErrorMessage="true" prompt="" sqref="M4:M30">
      <formula1/>
      <formula2/>
    </dataValidation>
    <dataValidation type="whole" errorStyle="stop" allowBlank="true" showDropDown="false" showInputMessage="true" showErrorMessage="true" prompt="" sqref="N4:N30">
      <formula1/>
      <formula2/>
    </dataValidation>
    <dataValidation type="whole" errorStyle="stop" allowBlank="true" showDropDown="false" showInputMessage="true" showErrorMessage="true" prompt="" sqref="O4:O30">
      <formula1/>
      <formula2/>
    </dataValidation>
    <dataValidation type="whole" errorStyle="stop" allowBlank="true" showDropDown="false" showInputMessage="true" showErrorMessage="true" prompt="" sqref="P4:P30">
      <formula1/>
      <formula2/>
    </dataValidation>
    <dataValidation type="whole" errorStyle="stop" allowBlank="true" showDropDown="false" showInputMessage="true" showErrorMessage="true" prompt="" sqref="Q4:Q30">
      <formula1/>
      <formula2/>
    </dataValidation>
    <dataValidation type="whole" errorStyle="stop" allowBlank="true" showDropDown="false" showInputMessage="true" showErrorMessage="true" prompt="" sqref="R4:R30">
      <formula1/>
      <formula2/>
    </dataValidation>
    <dataValidation type="whole" errorStyle="stop" allowBlank="true" showDropDown="false" showInputMessage="true" showErrorMessage="true" prompt="" sqref="S4:S30">
      <formula1/>
      <formula2/>
    </dataValidation>
    <dataValidation type="whole" errorStyle="stop" allowBlank="true" showDropDown="false" showInputMessage="true" showErrorMessage="true" prompt="" sqref="T4:T30">
      <formula1/>
      <formula2/>
    </dataValidation>
    <dataValidation type="whole" errorStyle="stop" allowBlank="true" showDropDown="false" showInputMessage="true" showErrorMessage="true" prompt="" sqref="U4:U30">
      <formula1/>
      <formula2/>
    </dataValidation>
    <dataValidation type="whole" errorStyle="stop" allowBlank="true" showDropDown="false" showInputMessage="true" showErrorMessage="true" prompt="" sqref="V4:V30">
      <formula1/>
      <formula2/>
    </dataValidation>
    <dataValidation type="whole" errorStyle="stop" allowBlank="true" showDropDown="false" showInputMessage="true" showErrorMessage="true" prompt="" sqref="W4:W30">
      <formula1/>
      <formula2/>
    </dataValidation>
    <dataValidation type="whole" errorStyle="stop" allowBlank="true" showDropDown="false" showInputMessage="true" showErrorMessage="true" prompt="" sqref="X4:X30">
      <formula1/>
      <formula2/>
    </dataValidation>
    <dataValidation type="whole" errorStyle="stop" allowBlank="true" showDropDown="false" showInputMessage="true" showErrorMessage="true" prompt="" sqref="Y4:Y30">
      <formula1/>
      <formula2/>
    </dataValidation>
    <dataValidation type="whole" errorStyle="stop" allowBlank="true" showDropDown="false" showInputMessage="true" showErrorMessage="true" prompt="" sqref="Z4:Z30">
      <formula1/>
      <formula2/>
    </dataValidation>
    <dataValidation type="whole" errorStyle="stop" allowBlank="true" showDropDown="false" showInputMessage="true" showErrorMessage="true" prompt="" sqref="AA4:AA30">
      <formula1/>
      <formula2/>
    </dataValidation>
    <dataValidation type="whole" errorStyle="stop" allowBlank="true" showDropDown="false" showInputMessage="true" showErrorMessage="true" prompt="" sqref="AB4:AB30">
      <formula1/>
      <formula2/>
    </dataValidation>
    <dataValidation type="whole" errorStyle="stop" allowBlank="true" showDropDown="false" showInputMessage="true" showErrorMessage="true" prompt="" sqref="AC4:AC30">
      <formula1/>
      <formula2/>
    </dataValidation>
    <dataValidation type="whole" errorStyle="stop" allowBlank="true" showDropDown="false" showInputMessage="true" showErrorMessage="true" prompt="" sqref="AD4:AD30">
      <formula1/>
      <formula2/>
    </dataValidation>
    <dataValidation type="whole" errorStyle="stop" allowBlank="true" showDropDown="false" showInputMessage="true" showErrorMessage="true" prompt="" sqref="AE4:AE30">
      <formula1/>
      <formula2/>
    </dataValidation>
    <dataValidation type="whole" errorStyle="stop" allowBlank="true" showDropDown="false" showInputMessage="true" showErrorMessage="true" prompt="" sqref="AF4:AF30">
      <formula1/>
      <formula2/>
    </dataValidation>
    <dataValidation type="whole" errorStyle="stop" allowBlank="true" showDropDown="false" showInputMessage="true" showErrorMessage="true" prompt="" sqref="AG4:AG30">
      <formula1/>
      <formula2/>
    </dataValidation>
    <dataValidation type="whole" errorStyle="stop" allowBlank="true" showDropDown="false" showInputMessage="true" showErrorMessage="true" prompt="" sqref="AH4:AH30">
      <formula1/>
      <formula2/>
    </dataValidation>
    <dataValidation type="whole" errorStyle="stop" allowBlank="true" showDropDown="false" showInputMessage="true" showErrorMessage="true" prompt="" sqref="AI4:AI30">
      <formula1/>
      <formula2/>
    </dataValidation>
    <dataValidation type="whole" errorStyle="stop" allowBlank="true" showDropDown="false" showInputMessage="true" showErrorMessage="true" prompt="" sqref="AJ4:AJ30">
      <formula1/>
      <formula2/>
    </dataValidation>
    <dataValidation type="whole" errorStyle="stop" allowBlank="true" showDropDown="false" showInputMessage="true" showErrorMessage="true" prompt="" sqref="AK4:AK30">
      <formula1/>
      <formula2/>
    </dataValidation>
    <dataValidation type="whole" errorStyle="stop" allowBlank="true" showDropDown="false" showInputMessage="true" showErrorMessage="true" prompt="" sqref="AL4:AL30">
      <formula1/>
      <formula2/>
    </dataValidation>
    <dataValidation type="whole" errorStyle="stop" allowBlank="true" showDropDown="false" showInputMessage="true" showErrorMessage="true" prompt="" sqref="AM4:AM30">
      <formula1/>
      <formula2/>
    </dataValidation>
    <dataValidation type="whole" errorStyle="stop" allowBlank="true" showDropDown="false" showInputMessage="true" showErrorMessage="true" prompt="" sqref="AN4:AN30">
      <formula1/>
      <formula2/>
    </dataValidation>
    <dataValidation type="whole" errorStyle="stop" allowBlank="true" showDropDown="false" showInputMessage="true" showErrorMessage="true" prompt="" sqref="AO4:AO30">
      <formula1/>
      <formula2/>
    </dataValidation>
    <dataValidation type="whole" errorStyle="stop" allowBlank="true" showDropDown="false" showInputMessage="true" showErrorMessage="true" prompt="" sqref="AP4:AP30">
      <formula1/>
      <formula2/>
    </dataValidation>
    <dataValidation type="whole" errorStyle="stop" allowBlank="true" showDropDown="false" showInputMessage="true" showErrorMessage="true" prompt="" sqref="AQ4:AQ30">
      <formula1/>
      <formula2/>
    </dataValidation>
    <dataValidation type="whole" errorStyle="stop" allowBlank="true" showDropDown="false" showInputMessage="true" showErrorMessage="true" prompt="" sqref="AR4:AR30">
      <formula1/>
      <formula2/>
    </dataValidation>
    <dataValidation type="whole" errorStyle="stop" allowBlank="true" showDropDown="false" showInputMessage="true" showErrorMessage="true" prompt="" sqref="AS4:AS30">
      <formula1/>
      <formula2/>
    </dataValidation>
    <dataValidation type="whole" errorStyle="stop" allowBlank="true" showDropDown="false" showInputMessage="true" showErrorMessage="true" prompt="" sqref="AT4:AT30">
      <formula1/>
      <formula2/>
    </dataValidation>
    <dataValidation type="whole" errorStyle="stop" allowBlank="true" showDropDown="false" showInputMessage="true" showErrorMessage="true" prompt="" sqref="AU4:AU30">
      <formula1/>
      <formula2/>
    </dataValidation>
    <dataValidation type="whole" errorStyle="stop" allowBlank="true" showDropDown="false" showInputMessage="true" showErrorMessage="true" prompt="" sqref="AV4:AV30">
      <formula1/>
      <formula2/>
    </dataValidation>
    <dataValidation type="whole" errorStyle="stop" allowBlank="true" showDropDown="false" showInputMessage="true" showErrorMessage="true" prompt="" sqref="AW4:AW30">
      <formula1/>
      <formula2/>
    </dataValidation>
    <dataValidation type="whole" errorStyle="stop" allowBlank="true" showDropDown="false" showInputMessage="true" showErrorMessage="true" prompt="" sqref="AX4:AX30">
      <formula1/>
      <formula2/>
    </dataValidation>
    <dataValidation type="whole" errorStyle="stop" allowBlank="true" showDropDown="false" showInputMessage="true" showErrorMessage="true" prompt="" sqref="AY4:AY30">
      <formula1/>
      <formula2/>
    </dataValidation>
    <dataValidation type="whole" errorStyle="stop" allowBlank="true" showDropDown="false" showInputMessage="true" showErrorMessage="true" prompt="" sqref="AZ4:AZ30">
      <formula1/>
      <formula2/>
    </dataValidation>
    <dataValidation type="whole" errorStyle="stop" allowBlank="true" showDropDown="false" showInputMessage="true" showErrorMessage="true" prompt="" sqref="BA4:BA30">
      <formula1/>
      <formula2/>
    </dataValidation>
    <dataValidation type="whole" errorStyle="stop" allowBlank="true" showDropDown="false" showInputMessage="true" showErrorMessage="true" prompt="" sqref="BB4:BB30">
      <formula1/>
      <formula2/>
    </dataValidation>
    <dataValidation type="whole" errorStyle="stop" allowBlank="true" showDropDown="false" showInputMessage="true" showErrorMessage="true" prompt="" sqref="BC4:BC30">
      <formula1/>
      <formula2/>
    </dataValidation>
    <dataValidation type="whole" errorStyle="stop" allowBlank="true" showDropDown="false" showInputMessage="true" showErrorMessage="true" prompt="" sqref="BD4:BD30">
      <formula1/>
      <formula2/>
    </dataValidation>
    <dataValidation type="whole" errorStyle="stop" allowBlank="true" showDropDown="false" showInputMessage="true" showErrorMessage="true" prompt="" sqref="BE4:BE30">
      <formula1/>
      <formula2/>
    </dataValidation>
    <dataValidation type="whole" errorStyle="stop" allowBlank="true" showDropDown="false" showInputMessage="true" showErrorMessage="true" prompt="" sqref="BF4:BF30">
      <formula1/>
      <formula2/>
    </dataValidation>
    <dataValidation type="whole" errorStyle="stop" allowBlank="true" showDropDown="false" showInputMessage="true" showErrorMessage="true" prompt="" sqref="BG4:BG30">
      <formula1/>
      <formula2/>
    </dataValidation>
    <dataValidation type="whole" errorStyle="stop" allowBlank="true" showDropDown="false" showInputMessage="true" showErrorMessage="true" prompt="" sqref="BH4:BH30">
      <formula1/>
      <formula2/>
    </dataValidation>
    <dataValidation type="whole" errorStyle="stop" allowBlank="true" showDropDown="false" showInputMessage="true" showErrorMessage="true" prompt="" sqref="BI4:BI30">
      <formula1/>
      <formula2/>
    </dataValidation>
    <dataValidation type="whole" errorStyle="stop" allowBlank="true" showDropDown="false" showInputMessage="true" showErrorMessage="true" prompt="" sqref="BJ4:BJ30">
      <formula1/>
      <formula2/>
    </dataValidation>
    <dataValidation type="whole" errorStyle="stop" allowBlank="true" showDropDown="false" showInputMessage="true" showErrorMessage="true" prompt="" sqref="BK4:BK30">
      <formula1/>
      <formula2/>
    </dataValidation>
    <dataValidation type="whole" errorStyle="stop" allowBlank="true" showDropDown="false" showInputMessage="true" showErrorMessage="true" prompt="" sqref="BL4:BL30">
      <formula1/>
      <formula2/>
    </dataValidation>
    <dataValidation type="whole" errorStyle="stop" allowBlank="true" showDropDown="false" showInputMessage="true" showErrorMessage="true" prompt="" sqref="BM4:BM30">
      <formula1/>
      <formula2/>
    </dataValidation>
    <dataValidation type="whole" errorStyle="stop" allowBlank="true" showDropDown="false" showInputMessage="true" showErrorMessage="true" prompt="" sqref="BN4:BN30">
      <formula1/>
      <formula2/>
    </dataValidation>
    <dataValidation type="whole" errorStyle="stop" allowBlank="true" showDropDown="false" showInputMessage="true" showErrorMessage="true" prompt="" sqref="BO4:BO30">
      <formula1/>
      <formula2/>
    </dataValidation>
    <dataValidation type="whole" errorStyle="stop" allowBlank="true" showDropDown="false" showInputMessage="true" showErrorMessage="true" prompt="" sqref="BP4:BP30">
      <formula1/>
      <formula2/>
    </dataValidation>
    <dataValidation type="whole" errorStyle="stop" allowBlank="true" showDropDown="false" showInputMessage="true" showErrorMessage="true" prompt="" sqref="BQ4:BQ30">
      <formula1/>
      <formula2/>
    </dataValidation>
    <dataValidation type="whole" errorStyle="stop" allowBlank="true" showDropDown="false" showInputMessage="true" showErrorMessage="true" prompt="" sqref="BR4:BR30">
      <formula1/>
      <formula2/>
    </dataValidation>
    <dataValidation type="whole" errorStyle="stop" allowBlank="true" showDropDown="false" showInputMessage="true" showErrorMessage="true" prompt="" sqref="BS4:BS30">
      <formula1/>
      <formula2/>
    </dataValidation>
    <dataValidation type="whole" errorStyle="stop" allowBlank="true" showDropDown="false" showInputMessage="true" showErrorMessage="true" prompt="" sqref="BT4:BT30">
      <formula1/>
      <formula2/>
    </dataValidation>
    <dataValidation type="whole" errorStyle="stop" allowBlank="true" showDropDown="false" showInputMessage="true" showErrorMessage="true" prompt="" sqref="BU4:BU30">
      <formula1/>
      <formula2/>
    </dataValidation>
    <dataValidation type="whole" errorStyle="stop" allowBlank="true" showDropDown="false" showInputMessage="true" showErrorMessage="true" prompt="" sqref="BV4:BV30">
      <formula1/>
      <formula2/>
    </dataValidation>
    <dataValidation type="whole" errorStyle="stop" allowBlank="true" showDropDown="false" showInputMessage="true" showErrorMessage="true" prompt="" sqref="BW4:BW30">
      <formula1/>
      <formula2/>
    </dataValidation>
    <dataValidation type="whole" errorStyle="stop" allowBlank="true" showDropDown="false" showInputMessage="true" showErrorMessage="true" prompt="" sqref="BX4:BX30">
      <formula1/>
      <formula2/>
    </dataValidation>
    <dataValidation type="whole" errorStyle="stop" allowBlank="true" showDropDown="false" showInputMessage="true" showErrorMessage="true" prompt="" sqref="BY4:BY30">
      <formula1/>
      <formula2/>
    </dataValidation>
    <dataValidation type="whole" errorStyle="stop" allowBlank="true" showDropDown="false" showInputMessage="true" showErrorMessage="true" prompt="" sqref="BZ4:BZ30">
      <formula1/>
      <formula2/>
    </dataValidation>
    <dataValidation type="whole" errorStyle="stop" allowBlank="true" showDropDown="false" showInputMessage="true" showErrorMessage="true" prompt="" sqref="CA4:CA30">
      <formula1/>
      <formula2/>
    </dataValidation>
    <dataValidation type="whole" errorStyle="stop" allowBlank="true" showDropDown="false" showInputMessage="true" showErrorMessage="true" prompt="" sqref="CB4:CB30">
      <formula1/>
      <formula2/>
    </dataValidation>
    <dataValidation type="whole" errorStyle="stop" allowBlank="true" showDropDown="false" showInputMessage="true" showErrorMessage="true" prompt="" sqref="CC4:CC30">
      <formula1/>
      <formula2/>
    </dataValidation>
    <dataValidation type="whole" errorStyle="stop" allowBlank="true" showDropDown="false" showInputMessage="true" showErrorMessage="true" prompt="" sqref="CD4:CD30">
      <formula1/>
      <formula2/>
    </dataValidation>
    <dataValidation type="whole" errorStyle="stop" allowBlank="true" showDropDown="false" showInputMessage="true" showErrorMessage="true" prompt="" sqref="CE4:CE30">
      <formula1/>
      <formula2/>
    </dataValidation>
    <dataValidation type="whole" errorStyle="stop" allowBlank="true" showDropDown="false" showInputMessage="true" showErrorMessage="true" prompt="" sqref="CF4:CF30">
      <formula1/>
      <formula2/>
    </dataValidation>
  </dataValidations>
</worksheet>
</file>

<file path=xl/worksheets/sheet11.xml><?xml version="1.0" encoding="utf-8"?>
<worksheet xmlns="http://schemas.openxmlformats.org/spreadsheetml/2006/main">
  <sheetPr codeName="Richard">
    <tabColor rgb="FFFFFFFF"/>
  </sheetPr>
  <dimension ref="CF30"/>
  <sheetViews>
    <sheetView showGridLines="true" workbookViewId="0">
      <pane xSplit="4" ySplit="3" topLeftCell="E4" state="frozen"/>
    </sheetView>
  </sheetViews>
  <cols>
    <col min="1" max="1" width="9.71094" customWidth="true"/>
    <col min="2" max="2" width="18.7109" customWidth="true"/>
    <col min="3" max="3" width="17.7109" customWidth="true"/>
    <col min="4" max="4" width="12.7109" customWidth="true"/>
    <col min="5" max="5" width="25.7109" customWidth="true"/>
    <col min="6" max="6" width="20.7109" customWidth="true"/>
    <col min="7" max="7" width="20.7109" customWidth="true"/>
    <col min="8" max="8" width="21.7109" customWidth="true"/>
    <col min="9" max="9" width="24.7109" customWidth="true"/>
    <col min="10" max="10" width="14.7109" customWidth="true"/>
    <col min="11" max="11" width="15.7109" customWidth="true"/>
    <col min="12" max="12" width="10.7109" customWidth="true"/>
    <col min="13" max="13" width="26.7109" customWidth="true"/>
    <col min="14" max="14" width="22.7109" customWidth="true"/>
    <col min="15" max="15" width="21.7109" customWidth="true"/>
    <col min="16" max="16" width="22.7109" customWidth="true"/>
    <col min="17" max="17" width="25.7109" customWidth="true"/>
    <col min="18" max="18" width="15.7109" customWidth="true"/>
    <col min="19" max="19" width="16.7109" customWidth="true"/>
    <col min="20" max="20" width="10.7109" customWidth="true"/>
    <col min="21" max="21" width="27.7109" customWidth="true"/>
    <col min="22" max="22" width="22.7109" customWidth="true"/>
    <col min="23" max="23" width="22.7109" customWidth="true"/>
    <col min="24" max="24" width="23.7109" customWidth="true"/>
    <col min="25" max="25" width="26.7109" customWidth="true"/>
    <col min="26" max="26" width="16.7109" customWidth="true"/>
    <col min="27" max="27" width="17.7109" customWidth="true"/>
    <col min="28" max="28" width="10.7109" customWidth="true"/>
    <col min="29" max="29" width="27.7109" customWidth="true"/>
    <col min="30" max="30" width="22.7109" customWidth="true"/>
    <col min="31" max="31" width="22.7109" customWidth="true"/>
    <col min="32" max="32" width="23.7109" customWidth="true"/>
    <col min="33" max="33" width="26.7109" customWidth="true"/>
    <col min="34" max="34" width="16.7109" customWidth="true"/>
    <col min="35" max="35" width="17.7109" customWidth="true"/>
    <col min="36" max="36" width="10.7109" customWidth="true"/>
    <col min="37" max="37" width="27.7109" customWidth="true"/>
    <col min="38" max="38" width="22.7109" customWidth="true"/>
    <col min="39" max="39" width="22.7109" customWidth="true"/>
    <col min="40" max="40" width="23.7109" customWidth="true"/>
    <col min="41" max="41" width="26.7109" customWidth="true"/>
    <col min="42" max="42" width="16.7109" customWidth="true"/>
    <col min="43" max="43" width="17.7109" customWidth="true"/>
    <col min="44" max="44" width="10.7109" customWidth="true"/>
    <col min="45" max="45" width="27.7109" customWidth="true"/>
    <col min="46" max="46" width="22.7109" customWidth="true"/>
    <col min="47" max="47" width="22.7109" customWidth="true"/>
    <col min="48" max="48" width="23.7109" customWidth="true"/>
    <col min="49" max="49" width="26.7109" customWidth="true"/>
    <col min="50" max="50" width="16.7109" customWidth="true"/>
    <col min="51" max="51" width="17.7109" customWidth="true"/>
    <col min="52" max="52" width="10.7109" customWidth="true"/>
    <col min="53" max="53" width="27.7109" customWidth="true"/>
    <col min="54" max="54" width="22.7109" customWidth="true"/>
    <col min="55" max="55" width="22.7109" customWidth="true"/>
    <col min="56" max="56" width="23.7109" customWidth="true"/>
    <col min="57" max="57" width="26.7109" customWidth="true"/>
    <col min="58" max="58" width="16.7109" customWidth="true"/>
    <col min="59" max="59" width="17.7109" customWidth="true"/>
    <col min="60" max="60" width="10.7109" customWidth="true"/>
    <col min="61" max="61" width="27.7109" customWidth="true"/>
    <col min="62" max="62" width="22.7109" customWidth="true"/>
    <col min="63" max="63" width="22.7109" customWidth="true"/>
    <col min="64" max="64" width="23.7109" customWidth="true"/>
    <col min="65" max="65" width="26.7109" customWidth="true"/>
    <col min="66" max="66" width="16.7109" customWidth="true"/>
    <col min="67" max="67" width="17.7109" customWidth="true"/>
    <col min="68" max="68" width="10.7109" customWidth="true"/>
    <col min="69" max="69" width="27.7109" customWidth="true"/>
    <col min="70" max="70" width="22.7109" customWidth="true"/>
    <col min="71" max="71" width="22.7109" customWidth="true"/>
    <col min="72" max="72" width="23.7109" customWidth="true"/>
    <col min="73" max="73" width="26.7109" customWidth="true"/>
    <col min="74" max="74" width="16.7109" customWidth="true"/>
    <col min="75" max="75" width="17.7109" customWidth="true"/>
    <col min="76" max="76" width="10.7109" customWidth="true"/>
    <col min="77" max="77" width="27.7109" customWidth="true"/>
    <col min="78" max="78" width="22.7109" customWidth="true"/>
    <col min="79" max="79" width="22.7109" customWidth="true"/>
    <col min="80" max="80" width="23.7109" customWidth="true"/>
    <col min="81" max="81" width="26.7109" customWidth="true"/>
    <col min="82" max="82" width="16.7109" customWidth="true"/>
    <col min="83" max="83" width="17.7109" customWidth="true"/>
    <col min="84" max="84" width="10.7109" customWidth="true"/>
  </cols>
  <sheetData>
    <row r="1" spans="1:84">
      <c r="A1" s="3" t="s">
        <v>1</v>
      </c>
      <c r="B1" s="4" t="s">
        <v>1</v>
      </c>
      <c r="C1" s="4" t="s">
        <v>1</v>
      </c>
      <c r="D1" s="4" t="s">
        <v>1</v>
      </c>
      <c r="E1" s="5" t="s">
        <v>2</v>
      </c>
      <c r="F1" s="6" t="s"/>
      <c r="G1" s="6" t="s"/>
      <c r="H1" s="6" t="s"/>
      <c r="I1" s="6" t="s"/>
      <c r="J1" s="6" t="s"/>
      <c r="K1" s="6" t="s"/>
      <c r="L1" s="7" t="s">
        <v>1</v>
      </c>
      <c r="M1" s="5" t="s">
        <v>3</v>
      </c>
      <c r="N1" s="6" t="s"/>
      <c r="O1" s="6" t="s"/>
      <c r="P1" s="6" t="s"/>
      <c r="Q1" s="6" t="s"/>
      <c r="R1" s="6" t="s"/>
      <c r="S1" s="6" t="s"/>
      <c r="T1" s="7" t="s">
        <v>1</v>
      </c>
      <c r="U1" s="5" t="s">
        <v>4</v>
      </c>
      <c r="V1" s="6" t="s"/>
      <c r="W1" s="6" t="s"/>
      <c r="X1" s="6" t="s"/>
      <c r="Y1" s="6" t="s"/>
      <c r="Z1" s="6" t="s"/>
      <c r="AA1" s="6" t="s"/>
      <c r="AB1" s="7" t="s">
        <v>1</v>
      </c>
      <c r="AC1" s="5" t="s">
        <v>5</v>
      </c>
      <c r="AD1" s="6" t="s"/>
      <c r="AE1" s="6" t="s"/>
      <c r="AF1" s="6" t="s"/>
      <c r="AG1" s="6" t="s"/>
      <c r="AH1" s="6" t="s"/>
      <c r="AI1" s="6" t="s"/>
      <c r="AJ1" s="7" t="s">
        <v>1</v>
      </c>
      <c r="AK1" s="5" t="s">
        <v>6</v>
      </c>
      <c r="AL1" s="6" t="s"/>
      <c r="AM1" s="6" t="s"/>
      <c r="AN1" s="6" t="s"/>
      <c r="AO1" s="6" t="s"/>
      <c r="AP1" s="6" t="s"/>
      <c r="AQ1" s="6" t="s"/>
      <c r="AR1" s="7" t="s">
        <v>1</v>
      </c>
      <c r="AS1" s="5" t="s">
        <v>7</v>
      </c>
      <c r="AT1" s="6" t="s"/>
      <c r="AU1" s="6" t="s"/>
      <c r="AV1" s="6" t="s"/>
      <c r="AW1" s="6" t="s"/>
      <c r="AX1" s="6" t="s"/>
      <c r="AY1" s="6" t="s"/>
      <c r="AZ1" s="7" t="s">
        <v>1</v>
      </c>
      <c r="BA1" s="5" t="s">
        <v>8</v>
      </c>
      <c r="BB1" s="6" t="s"/>
      <c r="BC1" s="6" t="s"/>
      <c r="BD1" s="6" t="s"/>
      <c r="BE1" s="6" t="s"/>
      <c r="BF1" s="6" t="s"/>
      <c r="BG1" s="6" t="s"/>
      <c r="BH1" s="7" t="s">
        <v>1</v>
      </c>
      <c r="BI1" s="5" t="s">
        <v>9</v>
      </c>
      <c r="BJ1" s="6" t="s"/>
      <c r="BK1" s="6" t="s"/>
      <c r="BL1" s="6" t="s"/>
      <c r="BM1" s="6" t="s"/>
      <c r="BN1" s="6" t="s"/>
      <c r="BO1" s="6" t="s"/>
      <c r="BP1" s="7" t="s">
        <v>1</v>
      </c>
      <c r="BQ1" s="5" t="s">
        <v>10</v>
      </c>
      <c r="BR1" s="6" t="s"/>
      <c r="BS1" s="6" t="s"/>
      <c r="BT1" s="6" t="s"/>
      <c r="BU1" s="6" t="s"/>
      <c r="BV1" s="6" t="s"/>
      <c r="BW1" s="6" t="s"/>
      <c r="BX1" s="7" t="s">
        <v>1</v>
      </c>
      <c r="BY1" s="5" t="s">
        <v>11</v>
      </c>
      <c r="BZ1" s="6" t="s"/>
      <c r="CA1" s="6" t="s"/>
      <c r="CB1" s="6" t="s"/>
      <c r="CC1" s="6" t="s"/>
      <c r="CD1" s="6" t="s"/>
      <c r="CE1" s="6" t="s"/>
      <c r="CF1" s="8" t="s">
        <v>1</v>
      </c>
    </row>
    <row r="2" spans="1:84" ht="15" customHeight="true">
      <c r="A2" s="9" t="s">
        <v>1</v>
      </c>
      <c r="B2" s="10" t="s">
        <v>1</v>
      </c>
      <c r="C2" s="10" t="s">
        <v>1</v>
      </c>
      <c r="D2" s="11" t="s">
        <v>1</v>
      </c>
      <c r="E2" s="12" t="s">
        <v>12</v>
      </c>
      <c r="F2" s="6" t="s"/>
      <c r="G2" s="6" t="s"/>
      <c r="H2" s="6" t="s"/>
      <c r="I2" s="13" t="s">
        <v>13</v>
      </c>
      <c r="J2" s="6" t="s"/>
      <c r="K2" s="6" t="s"/>
      <c r="L2" s="10" t="s">
        <v>1</v>
      </c>
      <c r="M2" s="12" t="s">
        <v>12</v>
      </c>
      <c r="N2" s="6" t="s"/>
      <c r="O2" s="6" t="s"/>
      <c r="P2" s="6" t="s"/>
      <c r="Q2" s="13" t="s">
        <v>13</v>
      </c>
      <c r="R2" s="6" t="s"/>
      <c r="S2" s="6" t="s"/>
      <c r="T2" s="10" t="s">
        <v>1</v>
      </c>
      <c r="U2" s="12" t="s">
        <v>12</v>
      </c>
      <c r="V2" s="6" t="s"/>
      <c r="W2" s="6" t="s"/>
      <c r="X2" s="6" t="s"/>
      <c r="Y2" s="13" t="s">
        <v>13</v>
      </c>
      <c r="Z2" s="6" t="s"/>
      <c r="AA2" s="6" t="s"/>
      <c r="AB2" s="10" t="s">
        <v>1</v>
      </c>
      <c r="AC2" s="12" t="s">
        <v>12</v>
      </c>
      <c r="AD2" s="6" t="s"/>
      <c r="AE2" s="6" t="s"/>
      <c r="AF2" s="6" t="s"/>
      <c r="AG2" s="13" t="s">
        <v>13</v>
      </c>
      <c r="AH2" s="6" t="s"/>
      <c r="AI2" s="6" t="s"/>
      <c r="AJ2" s="10" t="s">
        <v>1</v>
      </c>
      <c r="AK2" s="12" t="s">
        <v>12</v>
      </c>
      <c r="AL2" s="6" t="s"/>
      <c r="AM2" s="6" t="s"/>
      <c r="AN2" s="6" t="s"/>
      <c r="AO2" s="13" t="s">
        <v>13</v>
      </c>
      <c r="AP2" s="6" t="s"/>
      <c r="AQ2" s="6" t="s"/>
      <c r="AR2" s="10" t="s">
        <v>1</v>
      </c>
      <c r="AS2" s="12" t="s">
        <v>12</v>
      </c>
      <c r="AT2" s="6" t="s"/>
      <c r="AU2" s="6" t="s"/>
      <c r="AV2" s="6" t="s"/>
      <c r="AW2" s="13" t="s">
        <v>13</v>
      </c>
      <c r="AX2" s="6" t="s"/>
      <c r="AY2" s="6" t="s"/>
      <c r="AZ2" s="10" t="s">
        <v>1</v>
      </c>
      <c r="BA2" s="12" t="s">
        <v>12</v>
      </c>
      <c r="BB2" s="6" t="s"/>
      <c r="BC2" s="6" t="s"/>
      <c r="BD2" s="6" t="s"/>
      <c r="BE2" s="13" t="s">
        <v>13</v>
      </c>
      <c r="BF2" s="6" t="s"/>
      <c r="BG2" s="6" t="s"/>
      <c r="BH2" s="10" t="s">
        <v>1</v>
      </c>
      <c r="BI2" s="12" t="s">
        <v>12</v>
      </c>
      <c r="BJ2" s="6" t="s"/>
      <c r="BK2" s="6" t="s"/>
      <c r="BL2" s="6" t="s"/>
      <c r="BM2" s="13" t="s">
        <v>13</v>
      </c>
      <c r="BN2" s="6" t="s"/>
      <c r="BO2" s="6" t="s"/>
      <c r="BP2" s="10" t="s">
        <v>1</v>
      </c>
      <c r="BQ2" s="12" t="s">
        <v>12</v>
      </c>
      <c r="BR2" s="6" t="s"/>
      <c r="BS2" s="6" t="s"/>
      <c r="BT2" s="6" t="s"/>
      <c r="BU2" s="13" t="s">
        <v>13</v>
      </c>
      <c r="BV2" s="6" t="s"/>
      <c r="BW2" s="6" t="s"/>
      <c r="BX2" s="10" t="s">
        <v>1</v>
      </c>
      <c r="BY2" s="12" t="s">
        <v>12</v>
      </c>
      <c r="BZ2" s="6" t="s"/>
      <c r="CA2" s="6" t="s"/>
      <c r="CB2" s="6" t="s"/>
      <c r="CC2" s="13" t="s">
        <v>13</v>
      </c>
      <c r="CD2" s="6" t="s"/>
      <c r="CE2" s="6" t="s"/>
      <c r="CF2" s="10" t="s">
        <v>1</v>
      </c>
    </row>
    <row r="3" spans="1:84" ht="48.75" customHeight="true">
      <c r="A3" s="14" t="s">
        <v>155</v>
      </c>
      <c r="B3" s="14" t="s">
        <v>156</v>
      </c>
      <c r="C3" s="14" t="s">
        <v>157</v>
      </c>
      <c r="D3" s="15" t="s">
        <v>14</v>
      </c>
      <c r="E3" s="16" t="s">
        <v>15</v>
      </c>
      <c r="F3" s="16" t="s">
        <v>16</v>
      </c>
      <c r="G3" s="16" t="s">
        <v>17</v>
      </c>
      <c r="H3" s="16" t="s">
        <v>18</v>
      </c>
      <c r="I3" s="16" t="s">
        <v>19</v>
      </c>
      <c r="J3" s="16" t="s">
        <v>20</v>
      </c>
      <c r="K3" s="16" t="s">
        <v>21</v>
      </c>
      <c r="L3" s="17" t="s">
        <v>22</v>
      </c>
      <c r="M3" s="16" t="s">
        <v>23</v>
      </c>
      <c r="N3" s="16" t="s">
        <v>24</v>
      </c>
      <c r="O3" s="16" t="s">
        <v>25</v>
      </c>
      <c r="P3" s="16" t="s">
        <v>26</v>
      </c>
      <c r="Q3" s="16" t="s">
        <v>27</v>
      </c>
      <c r="R3" s="16" t="s">
        <v>28</v>
      </c>
      <c r="S3" s="16" t="s">
        <v>29</v>
      </c>
      <c r="T3" s="17" t="s">
        <v>30</v>
      </c>
      <c r="U3" s="16" t="s">
        <v>31</v>
      </c>
      <c r="V3" s="16" t="s">
        <v>32</v>
      </c>
      <c r="W3" s="16" t="s">
        <v>33</v>
      </c>
      <c r="X3" s="16" t="s">
        <v>34</v>
      </c>
      <c r="Y3" s="16" t="s">
        <v>35</v>
      </c>
      <c r="Z3" s="16" t="s">
        <v>36</v>
      </c>
      <c r="AA3" s="16" t="s">
        <v>37</v>
      </c>
      <c r="AB3" s="17" t="s">
        <v>38</v>
      </c>
      <c r="AC3" s="16" t="s">
        <v>39</v>
      </c>
      <c r="AD3" s="16" t="s">
        <v>40</v>
      </c>
      <c r="AE3" s="16" t="s">
        <v>41</v>
      </c>
      <c r="AF3" s="16" t="s">
        <v>42</v>
      </c>
      <c r="AG3" s="16" t="s">
        <v>43</v>
      </c>
      <c r="AH3" s="16" t="s">
        <v>44</v>
      </c>
      <c r="AI3" s="16" t="s">
        <v>45</v>
      </c>
      <c r="AJ3" s="17" t="s">
        <v>46</v>
      </c>
      <c r="AK3" s="16" t="s">
        <v>47</v>
      </c>
      <c r="AL3" s="16" t="s">
        <v>48</v>
      </c>
      <c r="AM3" s="16" t="s">
        <v>49</v>
      </c>
      <c r="AN3" s="16" t="s">
        <v>50</v>
      </c>
      <c r="AO3" s="16" t="s">
        <v>51</v>
      </c>
      <c r="AP3" s="16" t="s">
        <v>52</v>
      </c>
      <c r="AQ3" s="16" t="s">
        <v>53</v>
      </c>
      <c r="AR3" s="17" t="s">
        <v>54</v>
      </c>
      <c r="AS3" s="16" t="s">
        <v>55</v>
      </c>
      <c r="AT3" s="16" t="s">
        <v>56</v>
      </c>
      <c r="AU3" s="16" t="s">
        <v>57</v>
      </c>
      <c r="AV3" s="16" t="s">
        <v>58</v>
      </c>
      <c r="AW3" s="16" t="s">
        <v>59</v>
      </c>
      <c r="AX3" s="16" t="s">
        <v>60</v>
      </c>
      <c r="AY3" s="16" t="s">
        <v>61</v>
      </c>
      <c r="AZ3" s="17" t="s">
        <v>62</v>
      </c>
      <c r="BA3" s="16" t="s">
        <v>63</v>
      </c>
      <c r="BB3" s="16" t="s">
        <v>64</v>
      </c>
      <c r="BC3" s="16" t="s">
        <v>65</v>
      </c>
      <c r="BD3" s="16" t="s">
        <v>66</v>
      </c>
      <c r="BE3" s="16" t="s">
        <v>67</v>
      </c>
      <c r="BF3" s="16" t="s">
        <v>68</v>
      </c>
      <c r="BG3" s="16" t="s">
        <v>69</v>
      </c>
      <c r="BH3" s="17" t="s">
        <v>70</v>
      </c>
      <c r="BI3" s="16" t="s">
        <v>71</v>
      </c>
      <c r="BJ3" s="16" t="s">
        <v>72</v>
      </c>
      <c r="BK3" s="16" t="s">
        <v>73</v>
      </c>
      <c r="BL3" s="16" t="s">
        <v>74</v>
      </c>
      <c r="BM3" s="16" t="s">
        <v>75</v>
      </c>
      <c r="BN3" s="16" t="s">
        <v>76</v>
      </c>
      <c r="BO3" s="16" t="s">
        <v>77</v>
      </c>
      <c r="BP3" s="17" t="s">
        <v>78</v>
      </c>
      <c r="BQ3" s="16" t="s">
        <v>79</v>
      </c>
      <c r="BR3" s="16" t="s">
        <v>80</v>
      </c>
      <c r="BS3" s="16" t="s">
        <v>81</v>
      </c>
      <c r="BT3" s="16" t="s">
        <v>82</v>
      </c>
      <c r="BU3" s="16" t="s">
        <v>83</v>
      </c>
      <c r="BV3" s="16" t="s">
        <v>84</v>
      </c>
      <c r="BW3" s="16" t="s">
        <v>85</v>
      </c>
      <c r="BX3" s="17" t="s">
        <v>86</v>
      </c>
      <c r="BY3" s="16" t="s">
        <v>87</v>
      </c>
      <c r="BZ3" s="16" t="s">
        <v>88</v>
      </c>
      <c r="CA3" s="16" t="s">
        <v>89</v>
      </c>
      <c r="CB3" s="16" t="s">
        <v>90</v>
      </c>
      <c r="CC3" s="16" t="s">
        <v>91</v>
      </c>
      <c r="CD3" s="16" t="s">
        <v>92</v>
      </c>
      <c r="CE3" s="16" t="s">
        <v>93</v>
      </c>
      <c r="CF3" s="18" t="s">
        <v>94</v>
      </c>
    </row>
    <row r="4" spans="1:84">
      <c r="A4" s="19">
        <v>1</v>
      </c>
      <c r="B4" s="20" t="s">
        <v>158</v>
      </c>
      <c r="C4" s="20" t="s">
        <v>95</v>
      </c>
      <c r="D4" s="20" t="s">
        <v>96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2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2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2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2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2">
        <v>0</v>
      </c>
      <c r="AS4" s="21">
        <v>0</v>
      </c>
      <c r="AT4" s="21">
        <v>0</v>
      </c>
      <c r="AU4" s="21">
        <v>0</v>
      </c>
      <c r="AV4" s="21">
        <v>0</v>
      </c>
      <c r="AW4" s="21">
        <v>0</v>
      </c>
      <c r="AX4" s="21">
        <v>0</v>
      </c>
      <c r="AY4" s="21">
        <v>0</v>
      </c>
      <c r="AZ4" s="22">
        <v>0</v>
      </c>
      <c r="BA4" s="21">
        <v>0</v>
      </c>
      <c r="BB4" s="21">
        <v>0</v>
      </c>
      <c r="BC4" s="21">
        <v>0</v>
      </c>
      <c r="BD4" s="21">
        <v>0</v>
      </c>
      <c r="BE4" s="21">
        <v>0</v>
      </c>
      <c r="BF4" s="21">
        <v>0</v>
      </c>
      <c r="BG4" s="21">
        <v>0</v>
      </c>
      <c r="BH4" s="22">
        <v>0</v>
      </c>
      <c r="BI4" s="21">
        <v>0</v>
      </c>
      <c r="BJ4" s="21">
        <v>0</v>
      </c>
      <c r="BK4" s="21">
        <v>0</v>
      </c>
      <c r="BL4" s="21">
        <v>0</v>
      </c>
      <c r="BM4" s="21">
        <v>0</v>
      </c>
      <c r="BN4" s="21">
        <v>0</v>
      </c>
      <c r="BO4" s="21">
        <v>0</v>
      </c>
      <c r="BP4" s="22">
        <v>0</v>
      </c>
      <c r="BQ4" s="21">
        <v>0</v>
      </c>
      <c r="BR4" s="21">
        <v>0</v>
      </c>
      <c r="BS4" s="21">
        <v>0</v>
      </c>
      <c r="BT4" s="21">
        <v>0</v>
      </c>
      <c r="BU4" s="21">
        <v>0</v>
      </c>
      <c r="BV4" s="21">
        <v>0</v>
      </c>
      <c r="BW4" s="21">
        <v>0</v>
      </c>
      <c r="BX4" s="22">
        <v>0</v>
      </c>
      <c r="BY4" s="21">
        <v>0</v>
      </c>
      <c r="BZ4" s="21">
        <v>0</v>
      </c>
      <c r="CA4" s="21">
        <v>0</v>
      </c>
      <c r="CB4" s="21">
        <v>0</v>
      </c>
      <c r="CC4" s="21">
        <v>0</v>
      </c>
      <c r="CD4" s="21">
        <v>0</v>
      </c>
      <c r="CE4" s="21">
        <v>0</v>
      </c>
      <c r="CF4" s="22">
        <v>0</v>
      </c>
    </row>
    <row r="5" spans="1:84">
      <c r="A5" s="19">
        <v>2</v>
      </c>
      <c r="B5" s="20" t="s">
        <v>159</v>
      </c>
      <c r="C5" s="20" t="s">
        <v>95</v>
      </c>
      <c r="D5" s="20" t="s">
        <v>96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2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2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2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2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2">
        <v>0</v>
      </c>
      <c r="AS5" s="21">
        <v>0</v>
      </c>
      <c r="AT5" s="21">
        <v>0</v>
      </c>
      <c r="AU5" s="21">
        <v>0</v>
      </c>
      <c r="AV5" s="21">
        <v>0</v>
      </c>
      <c r="AW5" s="21">
        <v>0</v>
      </c>
      <c r="AX5" s="21">
        <v>0</v>
      </c>
      <c r="AY5" s="21">
        <v>0</v>
      </c>
      <c r="AZ5" s="22">
        <v>0</v>
      </c>
      <c r="BA5" s="21">
        <v>0</v>
      </c>
      <c r="BB5" s="21">
        <v>0</v>
      </c>
      <c r="BC5" s="21">
        <v>0</v>
      </c>
      <c r="BD5" s="21">
        <v>0</v>
      </c>
      <c r="BE5" s="21">
        <v>0</v>
      </c>
      <c r="BF5" s="21">
        <v>0</v>
      </c>
      <c r="BG5" s="21">
        <v>0</v>
      </c>
      <c r="BH5" s="22">
        <v>0</v>
      </c>
      <c r="BI5" s="21">
        <v>0</v>
      </c>
      <c r="BJ5" s="21">
        <v>0</v>
      </c>
      <c r="BK5" s="21">
        <v>0</v>
      </c>
      <c r="BL5" s="21">
        <v>0</v>
      </c>
      <c r="BM5" s="21">
        <v>0</v>
      </c>
      <c r="BN5" s="21">
        <v>0</v>
      </c>
      <c r="BO5" s="21">
        <v>0</v>
      </c>
      <c r="BP5" s="22">
        <v>0</v>
      </c>
      <c r="BQ5" s="21">
        <v>0</v>
      </c>
      <c r="BR5" s="21">
        <v>0</v>
      </c>
      <c r="BS5" s="21">
        <v>0</v>
      </c>
      <c r="BT5" s="21">
        <v>0</v>
      </c>
      <c r="BU5" s="21">
        <v>0</v>
      </c>
      <c r="BV5" s="21">
        <v>0</v>
      </c>
      <c r="BW5" s="21">
        <v>0</v>
      </c>
      <c r="BX5" s="22">
        <v>0</v>
      </c>
      <c r="BY5" s="21">
        <v>0</v>
      </c>
      <c r="BZ5" s="21">
        <v>0</v>
      </c>
      <c r="CA5" s="21">
        <v>0</v>
      </c>
      <c r="CB5" s="21">
        <v>0</v>
      </c>
      <c r="CC5" s="21">
        <v>0</v>
      </c>
      <c r="CD5" s="21">
        <v>0</v>
      </c>
      <c r="CE5" s="21">
        <v>0</v>
      </c>
      <c r="CF5" s="22">
        <v>0</v>
      </c>
    </row>
    <row r="6" spans="1:84">
      <c r="A6" s="19">
        <v>3</v>
      </c>
      <c r="B6" s="20" t="s">
        <v>160</v>
      </c>
      <c r="C6" s="20" t="s">
        <v>97</v>
      </c>
      <c r="D6" s="20" t="s">
        <v>96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2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2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2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2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2">
        <v>0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2">
        <v>0</v>
      </c>
      <c r="BA6" s="21">
        <v>0</v>
      </c>
      <c r="BB6" s="21">
        <v>0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H6" s="22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  <c r="BP6" s="22">
        <v>0</v>
      </c>
      <c r="BQ6" s="21">
        <v>0</v>
      </c>
      <c r="BR6" s="21">
        <v>0</v>
      </c>
      <c r="BS6" s="21">
        <v>0</v>
      </c>
      <c r="BT6" s="21">
        <v>0</v>
      </c>
      <c r="BU6" s="21">
        <v>0</v>
      </c>
      <c r="BV6" s="21">
        <v>0</v>
      </c>
      <c r="BW6" s="21">
        <v>0</v>
      </c>
      <c r="BX6" s="22">
        <v>0</v>
      </c>
      <c r="BY6" s="21">
        <v>0</v>
      </c>
      <c r="BZ6" s="21">
        <v>0</v>
      </c>
      <c r="CA6" s="21">
        <v>0</v>
      </c>
      <c r="CB6" s="21">
        <v>0</v>
      </c>
      <c r="CC6" s="21">
        <v>0</v>
      </c>
      <c r="CD6" s="21">
        <v>0</v>
      </c>
      <c r="CE6" s="21">
        <v>0</v>
      </c>
      <c r="CF6" s="22">
        <v>0</v>
      </c>
    </row>
    <row r="7" spans="1:84">
      <c r="A7" s="19">
        <v>4</v>
      </c>
      <c r="B7" s="20" t="s">
        <v>161</v>
      </c>
      <c r="C7" s="20" t="s">
        <v>97</v>
      </c>
      <c r="D7" s="20" t="s">
        <v>96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2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2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2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2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2">
        <v>0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>
        <v>0</v>
      </c>
      <c r="AY7" s="21">
        <v>0</v>
      </c>
      <c r="AZ7" s="22">
        <v>0</v>
      </c>
      <c r="BA7" s="21">
        <v>0</v>
      </c>
      <c r="BB7" s="21">
        <v>0</v>
      </c>
      <c r="BC7" s="21">
        <v>0</v>
      </c>
      <c r="BD7" s="21">
        <v>0</v>
      </c>
      <c r="BE7" s="21">
        <v>0</v>
      </c>
      <c r="BF7" s="21">
        <v>0</v>
      </c>
      <c r="BG7" s="21">
        <v>0</v>
      </c>
      <c r="BH7" s="22">
        <v>0</v>
      </c>
      <c r="BI7" s="21">
        <v>0</v>
      </c>
      <c r="BJ7" s="21">
        <v>0</v>
      </c>
      <c r="BK7" s="21">
        <v>0</v>
      </c>
      <c r="BL7" s="21">
        <v>0</v>
      </c>
      <c r="BM7" s="21">
        <v>0</v>
      </c>
      <c r="BN7" s="21">
        <v>0</v>
      </c>
      <c r="BO7" s="21">
        <v>0</v>
      </c>
      <c r="BP7" s="22">
        <v>0</v>
      </c>
      <c r="BQ7" s="21">
        <v>0</v>
      </c>
      <c r="BR7" s="21">
        <v>0</v>
      </c>
      <c r="BS7" s="21">
        <v>0</v>
      </c>
      <c r="BT7" s="21">
        <v>0</v>
      </c>
      <c r="BU7" s="21">
        <v>0</v>
      </c>
      <c r="BV7" s="21">
        <v>0</v>
      </c>
      <c r="BW7" s="21">
        <v>0</v>
      </c>
      <c r="BX7" s="22">
        <v>0</v>
      </c>
      <c r="BY7" s="21">
        <v>0</v>
      </c>
      <c r="BZ7" s="21">
        <v>0</v>
      </c>
      <c r="CA7" s="21">
        <v>0</v>
      </c>
      <c r="CB7" s="21">
        <v>0</v>
      </c>
      <c r="CC7" s="21">
        <v>0</v>
      </c>
      <c r="CD7" s="21">
        <v>0</v>
      </c>
      <c r="CE7" s="21">
        <v>0</v>
      </c>
      <c r="CF7" s="22">
        <v>0</v>
      </c>
    </row>
    <row r="8" spans="1:84">
      <c r="A8" s="23">
        <v>5</v>
      </c>
      <c r="B8" s="24" t="s">
        <v>162</v>
      </c>
      <c r="C8" s="24" t="s">
        <v>97</v>
      </c>
      <c r="D8" s="24" t="s">
        <v>98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2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2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2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2">
        <v>0</v>
      </c>
      <c r="AK8" s="21">
        <v>0</v>
      </c>
      <c r="AL8" s="21">
        <v>15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2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2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2">
        <v>0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  <c r="BO8" s="21">
        <v>0</v>
      </c>
      <c r="BP8" s="22">
        <v>0</v>
      </c>
      <c r="BQ8" s="21">
        <v>0</v>
      </c>
      <c r="BR8" s="21">
        <v>0</v>
      </c>
      <c r="BS8" s="21">
        <v>0</v>
      </c>
      <c r="BT8" s="21">
        <v>0</v>
      </c>
      <c r="BU8" s="21">
        <v>0</v>
      </c>
      <c r="BV8" s="21">
        <v>0</v>
      </c>
      <c r="BW8" s="21">
        <v>0</v>
      </c>
      <c r="BX8" s="22">
        <v>0</v>
      </c>
      <c r="BY8" s="21">
        <v>0</v>
      </c>
      <c r="BZ8" s="21">
        <v>0</v>
      </c>
      <c r="CA8" s="21">
        <v>0</v>
      </c>
      <c r="CB8" s="21">
        <v>0</v>
      </c>
      <c r="CC8" s="21">
        <v>0</v>
      </c>
      <c r="CD8" s="21">
        <v>0</v>
      </c>
      <c r="CE8" s="21">
        <v>0</v>
      </c>
      <c r="CF8" s="22">
        <v>0</v>
      </c>
    </row>
    <row r="9" spans="1:84">
      <c r="A9" s="23">
        <v>6</v>
      </c>
      <c r="B9" s="24" t="s">
        <v>163</v>
      </c>
      <c r="C9" s="24" t="s">
        <v>97</v>
      </c>
      <c r="D9" s="24" t="s">
        <v>98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2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2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2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2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2">
        <v>0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1">
        <v>0</v>
      </c>
      <c r="AZ9" s="22">
        <v>0</v>
      </c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F9" s="21">
        <v>0</v>
      </c>
      <c r="BG9" s="21">
        <v>0</v>
      </c>
      <c r="BH9" s="22">
        <v>0</v>
      </c>
      <c r="BI9" s="21">
        <v>0</v>
      </c>
      <c r="BJ9" s="21">
        <v>0</v>
      </c>
      <c r="BK9" s="21">
        <v>0</v>
      </c>
      <c r="BL9" s="21">
        <v>0</v>
      </c>
      <c r="BM9" s="21">
        <v>0</v>
      </c>
      <c r="BN9" s="21">
        <v>0</v>
      </c>
      <c r="BO9" s="21">
        <v>0</v>
      </c>
      <c r="BP9" s="22">
        <v>0</v>
      </c>
      <c r="BQ9" s="21">
        <v>0</v>
      </c>
      <c r="BR9" s="21">
        <v>0</v>
      </c>
      <c r="BS9" s="21">
        <v>0</v>
      </c>
      <c r="BT9" s="21">
        <v>0</v>
      </c>
      <c r="BU9" s="21">
        <v>0</v>
      </c>
      <c r="BV9" s="21">
        <v>0</v>
      </c>
      <c r="BW9" s="21">
        <v>0</v>
      </c>
      <c r="BX9" s="22">
        <v>0</v>
      </c>
      <c r="BY9" s="21">
        <v>0</v>
      </c>
      <c r="BZ9" s="21">
        <v>0</v>
      </c>
      <c r="CA9" s="21">
        <v>0</v>
      </c>
      <c r="CB9" s="21">
        <v>0</v>
      </c>
      <c r="CC9" s="21">
        <v>0</v>
      </c>
      <c r="CD9" s="21">
        <v>0</v>
      </c>
      <c r="CE9" s="21">
        <v>0</v>
      </c>
      <c r="CF9" s="22">
        <v>0</v>
      </c>
    </row>
    <row r="10" spans="1:84">
      <c r="A10" s="23">
        <v>7</v>
      </c>
      <c r="B10" s="24" t="s">
        <v>164</v>
      </c>
      <c r="C10" s="24" t="s">
        <v>99</v>
      </c>
      <c r="D10" s="24" t="s">
        <v>98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2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2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2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2">
        <v>0</v>
      </c>
      <c r="AK10" s="21">
        <v>0</v>
      </c>
      <c r="AL10" s="21">
        <v>15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2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2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2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  <c r="BO10" s="21">
        <v>0</v>
      </c>
      <c r="BP10" s="22">
        <v>0</v>
      </c>
      <c r="BQ10" s="21">
        <v>0</v>
      </c>
      <c r="BR10" s="21">
        <v>0</v>
      </c>
      <c r="BS10" s="21">
        <v>0</v>
      </c>
      <c r="BT10" s="21">
        <v>0</v>
      </c>
      <c r="BU10" s="21">
        <v>0</v>
      </c>
      <c r="BV10" s="21">
        <v>0</v>
      </c>
      <c r="BW10" s="21">
        <v>0</v>
      </c>
      <c r="BX10" s="22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2">
        <v>0</v>
      </c>
    </row>
    <row r="11" spans="1:84">
      <c r="A11" s="25">
        <v>8</v>
      </c>
      <c r="B11" s="26" t="s">
        <v>165</v>
      </c>
      <c r="C11" s="26" t="s">
        <v>99</v>
      </c>
      <c r="D11" s="26" t="s">
        <v>100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2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2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2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2">
        <v>0</v>
      </c>
      <c r="AK11" s="21">
        <v>0</v>
      </c>
      <c r="AL11" s="21">
        <v>10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2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2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2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2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2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2">
        <v>0</v>
      </c>
    </row>
    <row r="12" spans="1:84">
      <c r="A12" s="25">
        <v>9</v>
      </c>
      <c r="B12" s="26" t="s">
        <v>166</v>
      </c>
      <c r="C12" s="26" t="s">
        <v>99</v>
      </c>
      <c r="D12" s="26" t="s">
        <v>100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2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2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2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2">
        <v>0</v>
      </c>
      <c r="AK12" s="21">
        <v>0</v>
      </c>
      <c r="AL12" s="21">
        <v>10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2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2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2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2">
        <v>0</v>
      </c>
      <c r="BQ12" s="21">
        <v>0</v>
      </c>
      <c r="BR12" s="21">
        <v>0</v>
      </c>
      <c r="BS12" s="21">
        <v>0</v>
      </c>
      <c r="BT12" s="21">
        <v>0</v>
      </c>
      <c r="BU12" s="21">
        <v>0</v>
      </c>
      <c r="BV12" s="21">
        <v>0</v>
      </c>
      <c r="BW12" s="21">
        <v>0</v>
      </c>
      <c r="BX12" s="22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2">
        <v>0</v>
      </c>
    </row>
    <row r="13" spans="1:84">
      <c r="A13" s="25">
        <v>10</v>
      </c>
      <c r="B13" s="26" t="s">
        <v>167</v>
      </c>
      <c r="C13" s="26" t="s">
        <v>101</v>
      </c>
      <c r="D13" s="26" t="s">
        <v>100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2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2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2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2">
        <v>0</v>
      </c>
      <c r="AK13" s="21">
        <v>0</v>
      </c>
      <c r="AL13" s="21">
        <v>10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2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2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2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v>0</v>
      </c>
      <c r="BO13" s="21">
        <v>0</v>
      </c>
      <c r="BP13" s="22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2">
        <v>0</v>
      </c>
      <c r="BY13" s="21">
        <v>0</v>
      </c>
      <c r="BZ13" s="21"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2">
        <v>0</v>
      </c>
    </row>
    <row r="14" spans="1:84">
      <c r="A14" s="27">
        <v>11</v>
      </c>
      <c r="B14" s="28" t="s">
        <v>168</v>
      </c>
      <c r="C14" s="28" t="s">
        <v>101</v>
      </c>
      <c r="D14" s="28" t="s">
        <v>102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2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2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2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2">
        <v>0</v>
      </c>
      <c r="AK14" s="21">
        <v>0</v>
      </c>
      <c r="AL14" s="21">
        <v>20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2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2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2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  <c r="BO14" s="21">
        <v>0</v>
      </c>
      <c r="BP14" s="22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2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2">
        <v>0</v>
      </c>
    </row>
    <row r="15" spans="1:84">
      <c r="A15" s="27">
        <v>12</v>
      </c>
      <c r="B15" s="28" t="s">
        <v>169</v>
      </c>
      <c r="C15" s="28" t="s">
        <v>101</v>
      </c>
      <c r="D15" s="28" t="s">
        <v>102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2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2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2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2">
        <v>0</v>
      </c>
      <c r="AK15" s="21">
        <v>0</v>
      </c>
      <c r="AL15" s="21">
        <v>20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2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2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2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2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2">
        <v>0</v>
      </c>
      <c r="BY15" s="21">
        <v>0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2">
        <v>0</v>
      </c>
    </row>
    <row r="16" spans="1:84">
      <c r="A16" s="27">
        <v>13</v>
      </c>
      <c r="B16" s="28" t="s">
        <v>170</v>
      </c>
      <c r="C16" s="28" t="s">
        <v>103</v>
      </c>
      <c r="D16" s="28" t="s">
        <v>102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2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2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2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2">
        <v>0</v>
      </c>
      <c r="AK16" s="21">
        <v>0</v>
      </c>
      <c r="AL16" s="21">
        <v>20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2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2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2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2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2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2">
        <v>0</v>
      </c>
    </row>
    <row r="17" spans="1:84">
      <c r="A17" s="19">
        <v>14</v>
      </c>
      <c r="B17" s="20" t="s">
        <v>171</v>
      </c>
      <c r="C17" s="20" t="s">
        <v>104</v>
      </c>
      <c r="D17" s="20" t="s">
        <v>96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2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2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2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2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2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2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2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2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2">
        <v>0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2">
        <v>0</v>
      </c>
    </row>
    <row r="18" spans="1:84">
      <c r="A18" s="23">
        <v>15</v>
      </c>
      <c r="B18" s="24" t="s">
        <v>172</v>
      </c>
      <c r="C18" s="24" t="s">
        <v>104</v>
      </c>
      <c r="D18" s="24" t="s">
        <v>98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2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2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2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2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2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2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2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  <c r="BO18" s="21">
        <v>0</v>
      </c>
      <c r="BP18" s="22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2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2">
        <v>0</v>
      </c>
    </row>
    <row r="19" spans="1:84">
      <c r="A19" s="23">
        <v>16</v>
      </c>
      <c r="B19" s="24" t="s">
        <v>173</v>
      </c>
      <c r="C19" s="24" t="s">
        <v>104</v>
      </c>
      <c r="D19" s="24" t="s">
        <v>98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2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2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2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2">
        <v>0</v>
      </c>
      <c r="AK19" s="21">
        <v>0</v>
      </c>
      <c r="AL19" s="21">
        <v>15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2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2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2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2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2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2">
        <v>0</v>
      </c>
    </row>
    <row r="20" spans="1:84">
      <c r="A20" s="25">
        <v>17</v>
      </c>
      <c r="B20" s="26" t="s">
        <v>174</v>
      </c>
      <c r="C20" s="26" t="s">
        <v>104</v>
      </c>
      <c r="D20" s="26" t="s">
        <v>100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2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2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2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2">
        <v>0</v>
      </c>
      <c r="AK20" s="21">
        <v>0</v>
      </c>
      <c r="AL20" s="21">
        <v>10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2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2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2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  <c r="BO20" s="21">
        <v>0</v>
      </c>
      <c r="BP20" s="22">
        <v>0</v>
      </c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21">
        <v>0</v>
      </c>
      <c r="BW20" s="21">
        <v>0</v>
      </c>
      <c r="BX20" s="22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2">
        <v>0</v>
      </c>
    </row>
    <row r="21" spans="1:84">
      <c r="A21" s="25">
        <v>18</v>
      </c>
      <c r="B21" s="26" t="s">
        <v>175</v>
      </c>
      <c r="C21" s="26" t="s">
        <v>104</v>
      </c>
      <c r="D21" s="26" t="s">
        <v>100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2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2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2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2">
        <v>0</v>
      </c>
      <c r="AK21" s="21">
        <v>0</v>
      </c>
      <c r="AL21" s="21">
        <v>10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2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2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2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2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2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2">
        <v>0</v>
      </c>
    </row>
    <row r="22" spans="1:84">
      <c r="A22" s="27">
        <v>19</v>
      </c>
      <c r="B22" s="28" t="s">
        <v>176</v>
      </c>
      <c r="C22" s="28" t="s">
        <v>104</v>
      </c>
      <c r="D22" s="28" t="s">
        <v>102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2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2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2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2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2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2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2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P22" s="22">
        <v>0</v>
      </c>
      <c r="BQ22" s="21">
        <v>0</v>
      </c>
      <c r="BR22" s="21">
        <v>0</v>
      </c>
      <c r="BS22" s="21">
        <v>0</v>
      </c>
      <c r="BT22" s="21">
        <v>0</v>
      </c>
      <c r="BU22" s="21">
        <v>0</v>
      </c>
      <c r="BV22" s="21">
        <v>0</v>
      </c>
      <c r="BW22" s="21">
        <v>0</v>
      </c>
      <c r="BX22" s="22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2">
        <v>0</v>
      </c>
    </row>
    <row r="23" spans="1:84">
      <c r="A23" s="27">
        <v>20</v>
      </c>
      <c r="B23" s="28" t="s">
        <v>177</v>
      </c>
      <c r="C23" s="28" t="s">
        <v>105</v>
      </c>
      <c r="D23" s="28" t="s">
        <v>102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2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2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2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2">
        <v>0</v>
      </c>
      <c r="AK23" s="21">
        <v>0</v>
      </c>
      <c r="AL23" s="21">
        <v>20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2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2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2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2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2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2">
        <v>0</v>
      </c>
    </row>
    <row r="24" spans="1:84">
      <c r="A24" s="19">
        <v>21</v>
      </c>
      <c r="B24" s="20" t="s">
        <v>178</v>
      </c>
      <c r="C24" s="20" t="s">
        <v>106</v>
      </c>
      <c r="D24" s="20" t="s">
        <v>96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2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2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2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2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2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0</v>
      </c>
      <c r="AY24" s="21">
        <v>0</v>
      </c>
      <c r="AZ24" s="22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H24" s="22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v>0</v>
      </c>
      <c r="BO24" s="21">
        <v>0</v>
      </c>
      <c r="BP24" s="22">
        <v>0</v>
      </c>
      <c r="BQ24" s="21">
        <v>0</v>
      </c>
      <c r="BR24" s="21">
        <v>0</v>
      </c>
      <c r="BS24" s="21">
        <v>0</v>
      </c>
      <c r="BT24" s="21">
        <v>0</v>
      </c>
      <c r="BU24" s="21">
        <v>0</v>
      </c>
      <c r="BV24" s="21">
        <v>0</v>
      </c>
      <c r="BW24" s="21">
        <v>0</v>
      </c>
      <c r="BX24" s="22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2">
        <v>0</v>
      </c>
    </row>
    <row r="25" spans="1:84">
      <c r="A25" s="23">
        <v>22</v>
      </c>
      <c r="B25" s="24" t="s">
        <v>179</v>
      </c>
      <c r="C25" s="24" t="s">
        <v>106</v>
      </c>
      <c r="D25" s="24" t="s">
        <v>98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2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2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2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2">
        <v>0</v>
      </c>
      <c r="AK25" s="21">
        <v>0</v>
      </c>
      <c r="AL25" s="21">
        <v>15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2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0</v>
      </c>
      <c r="AY25" s="21">
        <v>0</v>
      </c>
      <c r="AZ25" s="22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2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2">
        <v>0</v>
      </c>
      <c r="BQ25" s="21">
        <v>0</v>
      </c>
      <c r="BR25" s="21">
        <v>0</v>
      </c>
      <c r="BS25" s="21">
        <v>0</v>
      </c>
      <c r="BT25" s="21">
        <v>0</v>
      </c>
      <c r="BU25" s="21">
        <v>0</v>
      </c>
      <c r="BV25" s="21">
        <v>0</v>
      </c>
      <c r="BW25" s="21">
        <v>0</v>
      </c>
      <c r="BX25" s="22">
        <v>0</v>
      </c>
      <c r="BY25" s="21">
        <v>0</v>
      </c>
      <c r="BZ25" s="21"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  <c r="CF25" s="22">
        <v>0</v>
      </c>
    </row>
    <row r="26" spans="1:84">
      <c r="A26" s="29">
        <v>23</v>
      </c>
      <c r="B26" s="26" t="s">
        <v>180</v>
      </c>
      <c r="C26" s="26" t="s">
        <v>106</v>
      </c>
      <c r="D26" s="26" t="s">
        <v>100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2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2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2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2">
        <v>0</v>
      </c>
      <c r="AK26" s="21">
        <v>0</v>
      </c>
      <c r="AL26" s="21">
        <v>10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2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2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2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  <c r="BO26" s="21">
        <v>0</v>
      </c>
      <c r="BP26" s="22">
        <v>0</v>
      </c>
      <c r="BQ26" s="21">
        <v>0</v>
      </c>
      <c r="BR26" s="21">
        <v>0</v>
      </c>
      <c r="BS26" s="21">
        <v>0</v>
      </c>
      <c r="BT26" s="21">
        <v>0</v>
      </c>
      <c r="BU26" s="21">
        <v>0</v>
      </c>
      <c r="BV26" s="21">
        <v>0</v>
      </c>
      <c r="BW26" s="21">
        <v>0</v>
      </c>
      <c r="BX26" s="22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2">
        <v>0</v>
      </c>
    </row>
    <row r="27" spans="1:84">
      <c r="A27" s="27">
        <v>24</v>
      </c>
      <c r="B27" s="28" t="s">
        <v>181</v>
      </c>
      <c r="C27" s="28" t="s">
        <v>106</v>
      </c>
      <c r="D27" s="28" t="s">
        <v>102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2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2">
        <v>0</v>
      </c>
      <c r="U27" s="21">
        <v>0</v>
      </c>
      <c r="V27" s="21">
        <v>0</v>
      </c>
      <c r="W27" s="21">
        <v>8</v>
      </c>
      <c r="X27" s="21">
        <v>0</v>
      </c>
      <c r="Y27" s="21">
        <v>0</v>
      </c>
      <c r="Z27" s="21">
        <v>0</v>
      </c>
      <c r="AA27" s="21">
        <v>0</v>
      </c>
      <c r="AB27" s="22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2">
        <v>0</v>
      </c>
      <c r="AK27" s="21">
        <v>0</v>
      </c>
      <c r="AL27" s="21">
        <v>20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2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2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2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2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2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2">
        <v>0</v>
      </c>
    </row>
    <row r="28" spans="1:84">
      <c r="A28" s="27">
        <v>25</v>
      </c>
      <c r="B28" s="28" t="s">
        <v>182</v>
      </c>
      <c r="C28" s="28" t="s">
        <v>106</v>
      </c>
      <c r="D28" s="28" t="s">
        <v>102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2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2">
        <v>0</v>
      </c>
      <c r="U28" s="21">
        <v>0</v>
      </c>
      <c r="V28" s="21">
        <v>0</v>
      </c>
      <c r="W28" s="21">
        <v>6</v>
      </c>
      <c r="X28" s="21">
        <v>0</v>
      </c>
      <c r="Y28" s="21">
        <v>0</v>
      </c>
      <c r="Z28" s="21">
        <v>0</v>
      </c>
      <c r="AA28" s="21">
        <v>0</v>
      </c>
      <c r="AB28" s="22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2">
        <v>0</v>
      </c>
      <c r="AK28" s="21">
        <v>0</v>
      </c>
      <c r="AL28" s="21">
        <v>20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2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2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2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  <c r="BO28" s="21">
        <v>0</v>
      </c>
      <c r="BP28" s="22">
        <v>0</v>
      </c>
      <c r="BQ28" s="21">
        <v>0</v>
      </c>
      <c r="BR28" s="21">
        <v>0</v>
      </c>
      <c r="BS28" s="21">
        <v>0</v>
      </c>
      <c r="BT28" s="21">
        <v>0</v>
      </c>
      <c r="BU28" s="21">
        <v>0</v>
      </c>
      <c r="BV28" s="21">
        <v>0</v>
      </c>
      <c r="BW28" s="21">
        <v>0</v>
      </c>
      <c r="BX28" s="22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2">
        <v>0</v>
      </c>
    </row>
    <row r="29" spans="1:84">
      <c r="A29" s="29">
        <v>26</v>
      </c>
      <c r="B29" s="30" t="s">
        <v>183</v>
      </c>
      <c r="C29" s="26" t="s">
        <v>106</v>
      </c>
      <c r="D29" s="26" t="s">
        <v>100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2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2">
        <v>0</v>
      </c>
      <c r="U29" s="21">
        <v>0</v>
      </c>
      <c r="V29" s="21">
        <v>0</v>
      </c>
      <c r="W29" s="21">
        <v>8</v>
      </c>
      <c r="X29" s="21">
        <v>0</v>
      </c>
      <c r="Y29" s="21">
        <v>0</v>
      </c>
      <c r="Z29" s="21">
        <v>0</v>
      </c>
      <c r="AA29" s="21">
        <v>0</v>
      </c>
      <c r="AB29" s="22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2">
        <v>0</v>
      </c>
      <c r="AK29" s="21">
        <v>0</v>
      </c>
      <c r="AL29" s="21">
        <v>10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2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2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2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2">
        <v>0</v>
      </c>
      <c r="BQ29" s="21">
        <v>0</v>
      </c>
      <c r="BR29" s="21">
        <v>0</v>
      </c>
      <c r="BS29" s="21">
        <v>0</v>
      </c>
      <c r="BT29" s="21">
        <v>0</v>
      </c>
      <c r="BU29" s="21">
        <v>0</v>
      </c>
      <c r="BV29" s="21">
        <v>0</v>
      </c>
      <c r="BW29" s="21">
        <v>0</v>
      </c>
      <c r="BX29" s="22">
        <v>0</v>
      </c>
      <c r="BY29" s="21">
        <v>0</v>
      </c>
      <c r="BZ29" s="21">
        <v>0</v>
      </c>
      <c r="CA29" s="21">
        <v>0</v>
      </c>
      <c r="CB29" s="21">
        <v>0</v>
      </c>
      <c r="CC29" s="21">
        <v>0</v>
      </c>
      <c r="CD29" s="21">
        <v>0</v>
      </c>
      <c r="CE29" s="21">
        <v>0</v>
      </c>
      <c r="CF29" s="22">
        <v>0</v>
      </c>
    </row>
    <row r="30" spans="1:84">
      <c r="A30" s="31">
        <v>27</v>
      </c>
      <c r="B30" s="32" t="s">
        <v>184</v>
      </c>
      <c r="C30" s="32" t="s">
        <v>106</v>
      </c>
      <c r="D30" s="32" t="s">
        <v>96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2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2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2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2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2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2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2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2">
        <v>0</v>
      </c>
      <c r="BQ30" s="21">
        <v>0</v>
      </c>
      <c r="BR30" s="21">
        <v>0</v>
      </c>
      <c r="BS30" s="21">
        <v>0</v>
      </c>
      <c r="BT30" s="21">
        <v>0</v>
      </c>
      <c r="BU30" s="21">
        <v>0</v>
      </c>
      <c r="BV30" s="21">
        <v>0</v>
      </c>
      <c r="BW30" s="21">
        <v>0</v>
      </c>
      <c r="BX30" s="22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2">
        <v>0</v>
      </c>
    </row>
  </sheetData>
  <mergeCells count="30">
    <mergeCell ref="BA2:BD2"/>
    <mergeCell ref="BE2:BG2"/>
    <mergeCell ref="BI2:BL2"/>
    <mergeCell ref="BM2:BO2"/>
    <mergeCell ref="BY2:CB2"/>
    <mergeCell ref="CC2:CE2"/>
    <mergeCell ref="BA1:BG1"/>
    <mergeCell ref="BI1:BO1"/>
    <mergeCell ref="BQ1:BW1"/>
    <mergeCell ref="BY1:CE1"/>
    <mergeCell ref="E1:K1"/>
    <mergeCell ref="M1:S1"/>
    <mergeCell ref="U1:AA1"/>
    <mergeCell ref="AC1:AI1"/>
    <mergeCell ref="U2:X2"/>
    <mergeCell ref="Y2:AA2"/>
    <mergeCell ref="AC2:AF2"/>
    <mergeCell ref="AG2:AI2"/>
    <mergeCell ref="BQ2:BT2"/>
    <mergeCell ref="BU2:BW2"/>
    <mergeCell ref="AK1:AQ1"/>
    <mergeCell ref="AK2:AN2"/>
    <mergeCell ref="AO2:AQ2"/>
    <mergeCell ref="AS1:AY1"/>
    <mergeCell ref="AS2:AV2"/>
    <mergeCell ref="AW2:AY2"/>
    <mergeCell ref="E2:H2"/>
    <mergeCell ref="I2:K2"/>
    <mergeCell ref="M2:P2"/>
    <mergeCell ref="Q2:S2"/>
  </mergeCells>
  <dataValidations>
    <dataValidation type="whole" errorStyle="stop" allowBlank="true" showDropDown="false" showInputMessage="true" showErrorMessage="true" prompt="" sqref="E4:E30">
      <formula1/>
      <formula2/>
    </dataValidation>
    <dataValidation type="whole" errorStyle="stop" allowBlank="true" showDropDown="false" showInputMessage="true" showErrorMessage="true" prompt="" sqref="F4:F30">
      <formula1/>
      <formula2/>
    </dataValidation>
    <dataValidation type="whole" errorStyle="stop" allowBlank="true" showDropDown="false" showInputMessage="true" showErrorMessage="true" prompt="" sqref="G4:G30">
      <formula1/>
      <formula2/>
    </dataValidation>
    <dataValidation type="whole" errorStyle="stop" allowBlank="true" showDropDown="false" showInputMessage="true" showErrorMessage="true" prompt="" sqref="H4:H30">
      <formula1/>
      <formula2/>
    </dataValidation>
    <dataValidation type="whole" errorStyle="stop" allowBlank="true" showDropDown="false" showInputMessage="true" showErrorMessage="true" prompt="" sqref="I4:I30">
      <formula1/>
      <formula2/>
    </dataValidation>
    <dataValidation type="whole" errorStyle="stop" allowBlank="true" showDropDown="false" showInputMessage="true" showErrorMessage="true" prompt="" sqref="J4:J30">
      <formula1/>
      <formula2/>
    </dataValidation>
    <dataValidation type="whole" errorStyle="stop" allowBlank="true" showDropDown="false" showInputMessage="true" showErrorMessage="true" prompt="" sqref="K4:K30">
      <formula1/>
      <formula2/>
    </dataValidation>
    <dataValidation type="whole" errorStyle="stop" allowBlank="true" showDropDown="false" showInputMessage="true" showErrorMessage="true" prompt="" sqref="L4:L30">
      <formula1/>
      <formula2/>
    </dataValidation>
    <dataValidation type="whole" errorStyle="stop" allowBlank="true" showDropDown="false" showInputMessage="true" showErrorMessage="true" prompt="" sqref="M4:M30">
      <formula1/>
      <formula2/>
    </dataValidation>
    <dataValidation type="whole" errorStyle="stop" allowBlank="true" showDropDown="false" showInputMessage="true" showErrorMessage="true" prompt="" sqref="N4:N30">
      <formula1/>
      <formula2/>
    </dataValidation>
    <dataValidation type="whole" errorStyle="stop" allowBlank="true" showDropDown="false" showInputMessage="true" showErrorMessage="true" prompt="" sqref="O4:O30">
      <formula1/>
      <formula2/>
    </dataValidation>
    <dataValidation type="whole" errorStyle="stop" allowBlank="true" showDropDown="false" showInputMessage="true" showErrorMessage="true" prompt="" sqref="P4:P30">
      <formula1/>
      <formula2/>
    </dataValidation>
    <dataValidation type="whole" errorStyle="stop" allowBlank="true" showDropDown="false" showInputMessage="true" showErrorMessage="true" prompt="" sqref="Q4:Q30">
      <formula1/>
      <formula2/>
    </dataValidation>
    <dataValidation type="whole" errorStyle="stop" allowBlank="true" showDropDown="false" showInputMessage="true" showErrorMessage="true" prompt="" sqref="R4:R30">
      <formula1/>
      <formula2/>
    </dataValidation>
    <dataValidation type="whole" errorStyle="stop" allowBlank="true" showDropDown="false" showInputMessage="true" showErrorMessage="true" prompt="" sqref="S4:S30">
      <formula1/>
      <formula2/>
    </dataValidation>
    <dataValidation type="whole" errorStyle="stop" allowBlank="true" showDropDown="false" showInputMessage="true" showErrorMessage="true" prompt="" sqref="T4:T30">
      <formula1/>
      <formula2/>
    </dataValidation>
    <dataValidation type="whole" errorStyle="stop" allowBlank="true" showDropDown="false" showInputMessage="true" showErrorMessage="true" prompt="" sqref="U4:U30">
      <formula1/>
      <formula2/>
    </dataValidation>
    <dataValidation type="whole" errorStyle="stop" allowBlank="true" showDropDown="false" showInputMessage="true" showErrorMessage="true" prompt="" sqref="V4:V30">
      <formula1/>
      <formula2/>
    </dataValidation>
    <dataValidation type="whole" errorStyle="stop" allowBlank="true" showDropDown="false" showInputMessage="true" showErrorMessage="true" prompt="" sqref="W4:W30">
      <formula1/>
      <formula2/>
    </dataValidation>
    <dataValidation type="whole" errorStyle="stop" allowBlank="true" showDropDown="false" showInputMessage="true" showErrorMessage="true" prompt="" sqref="X4:X30">
      <formula1/>
      <formula2/>
    </dataValidation>
    <dataValidation type="whole" errorStyle="stop" allowBlank="true" showDropDown="false" showInputMessage="true" showErrorMessage="true" prompt="" sqref="Y4:Y30">
      <formula1/>
      <formula2/>
    </dataValidation>
    <dataValidation type="whole" errorStyle="stop" allowBlank="true" showDropDown="false" showInputMessage="true" showErrorMessage="true" prompt="" sqref="Z4:Z30">
      <formula1/>
      <formula2/>
    </dataValidation>
    <dataValidation type="whole" errorStyle="stop" allowBlank="true" showDropDown="false" showInputMessage="true" showErrorMessage="true" prompt="" sqref="AA4:AA30">
      <formula1/>
      <formula2/>
    </dataValidation>
    <dataValidation type="whole" errorStyle="stop" allowBlank="true" showDropDown="false" showInputMessage="true" showErrorMessage="true" prompt="" sqref="AB4:AB30">
      <formula1/>
      <formula2/>
    </dataValidation>
    <dataValidation type="whole" errorStyle="stop" allowBlank="true" showDropDown="false" showInputMessage="true" showErrorMessage="true" prompt="" sqref="AC4:AC30">
      <formula1/>
      <formula2/>
    </dataValidation>
    <dataValidation type="whole" errorStyle="stop" allowBlank="true" showDropDown="false" showInputMessage="true" showErrorMessage="true" prompt="" sqref="AD4:AD30">
      <formula1/>
      <formula2/>
    </dataValidation>
    <dataValidation type="whole" errorStyle="stop" allowBlank="true" showDropDown="false" showInputMessage="true" showErrorMessage="true" prompt="" sqref="AE4:AE30">
      <formula1/>
      <formula2/>
    </dataValidation>
    <dataValidation type="whole" errorStyle="stop" allowBlank="true" showDropDown="false" showInputMessage="true" showErrorMessage="true" prompt="" sqref="AF4:AF30">
      <formula1/>
      <formula2/>
    </dataValidation>
    <dataValidation type="whole" errorStyle="stop" allowBlank="true" showDropDown="false" showInputMessage="true" showErrorMessage="true" prompt="" sqref="AG4:AG30">
      <formula1/>
      <formula2/>
    </dataValidation>
    <dataValidation type="whole" errorStyle="stop" allowBlank="true" showDropDown="false" showInputMessage="true" showErrorMessage="true" prompt="" sqref="AH4:AH30">
      <formula1/>
      <formula2/>
    </dataValidation>
    <dataValidation type="whole" errorStyle="stop" allowBlank="true" showDropDown="false" showInputMessage="true" showErrorMessage="true" prompt="" sqref="AI4:AI30">
      <formula1/>
      <formula2/>
    </dataValidation>
    <dataValidation type="whole" errorStyle="stop" allowBlank="true" showDropDown="false" showInputMessage="true" showErrorMessage="true" prompt="" sqref="AJ4:AJ30">
      <formula1/>
      <formula2/>
    </dataValidation>
    <dataValidation type="whole" errorStyle="stop" allowBlank="true" showDropDown="false" showInputMessage="true" showErrorMessage="true" prompt="" sqref="AK4:AK30">
      <formula1/>
      <formula2/>
    </dataValidation>
    <dataValidation type="whole" errorStyle="stop" allowBlank="true" showDropDown="false" showInputMessage="true" showErrorMessage="true" prompt="" sqref="AL4:AL30">
      <formula1/>
      <formula2/>
    </dataValidation>
    <dataValidation type="whole" errorStyle="stop" allowBlank="true" showDropDown="false" showInputMessage="true" showErrorMessage="true" prompt="" sqref="AM4:AM30">
      <formula1/>
      <formula2/>
    </dataValidation>
    <dataValidation type="whole" errorStyle="stop" allowBlank="true" showDropDown="false" showInputMessage="true" showErrorMessage="true" prompt="" sqref="AN4:AN30">
      <formula1/>
      <formula2/>
    </dataValidation>
    <dataValidation type="whole" errorStyle="stop" allowBlank="true" showDropDown="false" showInputMessage="true" showErrorMessage="true" prompt="" sqref="AO4:AO30">
      <formula1/>
      <formula2/>
    </dataValidation>
    <dataValidation type="whole" errorStyle="stop" allowBlank="true" showDropDown="false" showInputMessage="true" showErrorMessage="true" prompt="" sqref="AP4:AP30">
      <formula1/>
      <formula2/>
    </dataValidation>
    <dataValidation type="whole" errorStyle="stop" allowBlank="true" showDropDown="false" showInputMessage="true" showErrorMessage="true" prompt="" sqref="AQ4:AQ30">
      <formula1/>
      <formula2/>
    </dataValidation>
    <dataValidation type="whole" errorStyle="stop" allowBlank="true" showDropDown="false" showInputMessage="true" showErrorMessage="true" prompt="" sqref="AR4:AR30">
      <formula1/>
      <formula2/>
    </dataValidation>
    <dataValidation type="whole" errorStyle="stop" allowBlank="true" showDropDown="false" showInputMessage="true" showErrorMessage="true" prompt="" sqref="AS4:AS30">
      <formula1/>
      <formula2/>
    </dataValidation>
    <dataValidation type="whole" errorStyle="stop" allowBlank="true" showDropDown="false" showInputMessage="true" showErrorMessage="true" prompt="" sqref="AT4:AT30">
      <formula1/>
      <formula2/>
    </dataValidation>
    <dataValidation type="whole" errorStyle="stop" allowBlank="true" showDropDown="false" showInputMessage="true" showErrorMessage="true" prompt="" sqref="AU4:AU30">
      <formula1/>
      <formula2/>
    </dataValidation>
    <dataValidation type="whole" errorStyle="stop" allowBlank="true" showDropDown="false" showInputMessage="true" showErrorMessage="true" prompt="" sqref="AV4:AV30">
      <formula1/>
      <formula2/>
    </dataValidation>
    <dataValidation type="whole" errorStyle="stop" allowBlank="true" showDropDown="false" showInputMessage="true" showErrorMessage="true" prompt="" sqref="AW4:AW30">
      <formula1/>
      <formula2/>
    </dataValidation>
    <dataValidation type="whole" errorStyle="stop" allowBlank="true" showDropDown="false" showInputMessage="true" showErrorMessage="true" prompt="" sqref="AX4:AX30">
      <formula1/>
      <formula2/>
    </dataValidation>
    <dataValidation type="whole" errorStyle="stop" allowBlank="true" showDropDown="false" showInputMessage="true" showErrorMessage="true" prompt="" sqref="AY4:AY30">
      <formula1/>
      <formula2/>
    </dataValidation>
    <dataValidation type="whole" errorStyle="stop" allowBlank="true" showDropDown="false" showInputMessage="true" showErrorMessage="true" prompt="" sqref="AZ4:AZ30">
      <formula1/>
      <formula2/>
    </dataValidation>
    <dataValidation type="whole" errorStyle="stop" allowBlank="true" showDropDown="false" showInputMessage="true" showErrorMessage="true" prompt="" sqref="BA4:BA30">
      <formula1/>
      <formula2/>
    </dataValidation>
    <dataValidation type="whole" errorStyle="stop" allowBlank="true" showDropDown="false" showInputMessage="true" showErrorMessage="true" prompt="" sqref="BB4:BB30">
      <formula1/>
      <formula2/>
    </dataValidation>
    <dataValidation type="whole" errorStyle="stop" allowBlank="true" showDropDown="false" showInputMessage="true" showErrorMessage="true" prompt="" sqref="BC4:BC30">
      <formula1/>
      <formula2/>
    </dataValidation>
    <dataValidation type="whole" errorStyle="stop" allowBlank="true" showDropDown="false" showInputMessage="true" showErrorMessage="true" prompt="" sqref="BD4:BD30">
      <formula1/>
      <formula2/>
    </dataValidation>
    <dataValidation type="whole" errorStyle="stop" allowBlank="true" showDropDown="false" showInputMessage="true" showErrorMessage="true" prompt="" sqref="BE4:BE30">
      <formula1/>
      <formula2/>
    </dataValidation>
    <dataValidation type="whole" errorStyle="stop" allowBlank="true" showDropDown="false" showInputMessage="true" showErrorMessage="true" prompt="" sqref="BF4:BF30">
      <formula1/>
      <formula2/>
    </dataValidation>
    <dataValidation type="whole" errorStyle="stop" allowBlank="true" showDropDown="false" showInputMessage="true" showErrorMessage="true" prompt="" sqref="BG4:BG30">
      <formula1/>
      <formula2/>
    </dataValidation>
    <dataValidation type="whole" errorStyle="stop" allowBlank="true" showDropDown="false" showInputMessage="true" showErrorMessage="true" prompt="" sqref="BH4:BH30">
      <formula1/>
      <formula2/>
    </dataValidation>
    <dataValidation type="whole" errorStyle="stop" allowBlank="true" showDropDown="false" showInputMessage="true" showErrorMessage="true" prompt="" sqref="BI4:BI30">
      <formula1/>
      <formula2/>
    </dataValidation>
    <dataValidation type="whole" errorStyle="stop" allowBlank="true" showDropDown="false" showInputMessage="true" showErrorMessage="true" prompt="" sqref="BJ4:BJ30">
      <formula1/>
      <formula2/>
    </dataValidation>
    <dataValidation type="whole" errorStyle="stop" allowBlank="true" showDropDown="false" showInputMessage="true" showErrorMessage="true" prompt="" sqref="BK4:BK30">
      <formula1/>
      <formula2/>
    </dataValidation>
    <dataValidation type="whole" errorStyle="stop" allowBlank="true" showDropDown="false" showInputMessage="true" showErrorMessage="true" prompt="" sqref="BL4:BL30">
      <formula1/>
      <formula2/>
    </dataValidation>
    <dataValidation type="whole" errorStyle="stop" allowBlank="true" showDropDown="false" showInputMessage="true" showErrorMessage="true" prompt="" sqref="BM4:BM30">
      <formula1/>
      <formula2/>
    </dataValidation>
    <dataValidation type="whole" errorStyle="stop" allowBlank="true" showDropDown="false" showInputMessage="true" showErrorMessage="true" prompt="" sqref="BN4:BN30">
      <formula1/>
      <formula2/>
    </dataValidation>
    <dataValidation type="whole" errorStyle="stop" allowBlank="true" showDropDown="false" showInputMessage="true" showErrorMessage="true" prompt="" sqref="BO4:BO30">
      <formula1/>
      <formula2/>
    </dataValidation>
    <dataValidation type="whole" errorStyle="stop" allowBlank="true" showDropDown="false" showInputMessage="true" showErrorMessage="true" prompt="" sqref="BP4:BP30">
      <formula1/>
      <formula2/>
    </dataValidation>
    <dataValidation type="whole" errorStyle="stop" allowBlank="true" showDropDown="false" showInputMessage="true" showErrorMessage="true" prompt="" sqref="BQ4:BQ30">
      <formula1/>
      <formula2/>
    </dataValidation>
    <dataValidation type="whole" errorStyle="stop" allowBlank="true" showDropDown="false" showInputMessage="true" showErrorMessage="true" prompt="" sqref="BR4:BR30">
      <formula1/>
      <formula2/>
    </dataValidation>
    <dataValidation type="whole" errorStyle="stop" allowBlank="true" showDropDown="false" showInputMessage="true" showErrorMessage="true" prompt="" sqref="BS4:BS30">
      <formula1/>
      <formula2/>
    </dataValidation>
    <dataValidation type="whole" errorStyle="stop" allowBlank="true" showDropDown="false" showInputMessage="true" showErrorMessage="true" prompt="" sqref="BT4:BT30">
      <formula1/>
      <formula2/>
    </dataValidation>
    <dataValidation type="whole" errorStyle="stop" allowBlank="true" showDropDown="false" showInputMessage="true" showErrorMessage="true" prompt="" sqref="BU4:BU30">
      <formula1/>
      <formula2/>
    </dataValidation>
    <dataValidation type="whole" errorStyle="stop" allowBlank="true" showDropDown="false" showInputMessage="true" showErrorMessage="true" prompt="" sqref="BV4:BV30">
      <formula1/>
      <formula2/>
    </dataValidation>
    <dataValidation type="whole" errorStyle="stop" allowBlank="true" showDropDown="false" showInputMessage="true" showErrorMessage="true" prompt="" sqref="BW4:BW30">
      <formula1/>
      <formula2/>
    </dataValidation>
    <dataValidation type="whole" errorStyle="stop" allowBlank="true" showDropDown="false" showInputMessage="true" showErrorMessage="true" prompt="" sqref="BX4:BX30">
      <formula1/>
      <formula2/>
    </dataValidation>
    <dataValidation type="whole" errorStyle="stop" allowBlank="true" showDropDown="false" showInputMessage="true" showErrorMessage="true" prompt="" sqref="BY4:BY30">
      <formula1/>
      <formula2/>
    </dataValidation>
    <dataValidation type="whole" errorStyle="stop" allowBlank="true" showDropDown="false" showInputMessage="true" showErrorMessage="true" prompt="" sqref="BZ4:BZ30">
      <formula1/>
      <formula2/>
    </dataValidation>
    <dataValidation type="whole" errorStyle="stop" allowBlank="true" showDropDown="false" showInputMessage="true" showErrorMessage="true" prompt="" sqref="CA4:CA30">
      <formula1/>
      <formula2/>
    </dataValidation>
    <dataValidation type="whole" errorStyle="stop" allowBlank="true" showDropDown="false" showInputMessage="true" showErrorMessage="true" prompt="" sqref="CB4:CB30">
      <formula1/>
      <formula2/>
    </dataValidation>
    <dataValidation type="whole" errorStyle="stop" allowBlank="true" showDropDown="false" showInputMessage="true" showErrorMessage="true" prompt="" sqref="CC4:CC30">
      <formula1/>
      <formula2/>
    </dataValidation>
    <dataValidation type="whole" errorStyle="stop" allowBlank="true" showDropDown="false" showInputMessage="true" showErrorMessage="true" prompt="" sqref="CD4:CD30">
      <formula1/>
      <formula2/>
    </dataValidation>
    <dataValidation type="whole" errorStyle="stop" allowBlank="true" showDropDown="false" showInputMessage="true" showErrorMessage="true" prompt="" sqref="CE4:CE30">
      <formula1/>
      <formula2/>
    </dataValidation>
    <dataValidation type="whole" errorStyle="stop" allowBlank="true" showDropDown="false" showInputMessage="true" showErrorMessage="true" prompt="" sqref="CF4:CF30">
      <formula1/>
      <formula2/>
    </dataValidation>
  </dataValidations>
</worksheet>
</file>

<file path=xl/worksheets/sheet12.xml><?xml version="1.0" encoding="utf-8"?>
<worksheet xmlns="http://schemas.openxmlformats.org/spreadsheetml/2006/main">
  <sheetPr codeName="Summer">
    <tabColor rgb="FFFFFFFF"/>
  </sheetPr>
  <dimension ref="CF30"/>
  <sheetViews>
    <sheetView showGridLines="true" workbookViewId="0">
      <pane xSplit="4" ySplit="3" topLeftCell="E4" state="frozen"/>
    </sheetView>
  </sheetViews>
  <cols>
    <col min="1" max="1" width="9.71094" customWidth="true"/>
    <col min="2" max="2" width="18.7109" customWidth="true"/>
    <col min="3" max="3" width="17.7109" customWidth="true"/>
    <col min="4" max="4" width="12.7109" customWidth="true"/>
    <col min="5" max="5" width="25.7109" customWidth="true"/>
    <col min="6" max="6" width="20.7109" customWidth="true"/>
    <col min="7" max="7" width="20.7109" customWidth="true"/>
    <col min="8" max="8" width="21.7109" customWidth="true"/>
    <col min="9" max="9" width="24.7109" customWidth="true"/>
    <col min="10" max="10" width="14.7109" customWidth="true"/>
    <col min="11" max="11" width="15.7109" customWidth="true"/>
    <col min="12" max="12" width="10.7109" customWidth="true"/>
    <col min="13" max="13" width="26.7109" customWidth="true"/>
    <col min="14" max="14" width="22.7109" customWidth="true"/>
    <col min="15" max="15" width="21.7109" customWidth="true"/>
    <col min="16" max="16" width="22.7109" customWidth="true"/>
    <col min="17" max="17" width="25.7109" customWidth="true"/>
    <col min="18" max="18" width="15.7109" customWidth="true"/>
    <col min="19" max="19" width="16.7109" customWidth="true"/>
    <col min="20" max="20" width="10.7109" customWidth="true"/>
    <col min="21" max="21" width="27.7109" customWidth="true"/>
    <col min="22" max="22" width="22.7109" customWidth="true"/>
    <col min="23" max="23" width="22.7109" customWidth="true"/>
    <col min="24" max="24" width="23.7109" customWidth="true"/>
    <col min="25" max="25" width="26.7109" customWidth="true"/>
    <col min="26" max="26" width="16.7109" customWidth="true"/>
    <col min="27" max="27" width="17.7109" customWidth="true"/>
    <col min="28" max="28" width="10.7109" customWidth="true"/>
    <col min="29" max="29" width="27.7109" customWidth="true"/>
    <col min="30" max="30" width="22.7109" customWidth="true"/>
    <col min="31" max="31" width="22.7109" customWidth="true"/>
    <col min="32" max="32" width="23.7109" customWidth="true"/>
    <col min="33" max="33" width="26.7109" customWidth="true"/>
    <col min="34" max="34" width="16.7109" customWidth="true"/>
    <col min="35" max="35" width="17.7109" customWidth="true"/>
    <col min="36" max="36" width="10.7109" customWidth="true"/>
    <col min="37" max="37" width="27.7109" customWidth="true"/>
    <col min="38" max="38" width="22.7109" customWidth="true"/>
    <col min="39" max="39" width="22.7109" customWidth="true"/>
    <col min="40" max="40" width="23.7109" customWidth="true"/>
    <col min="41" max="41" width="26.7109" customWidth="true"/>
    <col min="42" max="42" width="16.7109" customWidth="true"/>
    <col min="43" max="43" width="17.7109" customWidth="true"/>
    <col min="44" max="44" width="10.7109" customWidth="true"/>
    <col min="45" max="45" width="27.7109" customWidth="true"/>
    <col min="46" max="46" width="22.7109" customWidth="true"/>
    <col min="47" max="47" width="22.7109" customWidth="true"/>
    <col min="48" max="48" width="23.7109" customWidth="true"/>
    <col min="49" max="49" width="26.7109" customWidth="true"/>
    <col min="50" max="50" width="16.7109" customWidth="true"/>
    <col min="51" max="51" width="17.7109" customWidth="true"/>
    <col min="52" max="52" width="10.7109" customWidth="true"/>
    <col min="53" max="53" width="27.7109" customWidth="true"/>
    <col min="54" max="54" width="22.7109" customWidth="true"/>
    <col min="55" max="55" width="22.7109" customWidth="true"/>
    <col min="56" max="56" width="23.7109" customWidth="true"/>
    <col min="57" max="57" width="26.7109" customWidth="true"/>
    <col min="58" max="58" width="16.7109" customWidth="true"/>
    <col min="59" max="59" width="17.7109" customWidth="true"/>
    <col min="60" max="60" width="10.7109" customWidth="true"/>
    <col min="61" max="61" width="27.7109" customWidth="true"/>
    <col min="62" max="62" width="22.7109" customWidth="true"/>
    <col min="63" max="63" width="22.7109" customWidth="true"/>
    <col min="64" max="64" width="23.7109" customWidth="true"/>
    <col min="65" max="65" width="26.7109" customWidth="true"/>
    <col min="66" max="66" width="16.7109" customWidth="true"/>
    <col min="67" max="67" width="17.7109" customWidth="true"/>
    <col min="68" max="68" width="10.7109" customWidth="true"/>
    <col min="69" max="69" width="27.7109" customWidth="true"/>
    <col min="70" max="70" width="22.7109" customWidth="true"/>
    <col min="71" max="71" width="22.7109" customWidth="true"/>
    <col min="72" max="72" width="23.7109" customWidth="true"/>
    <col min="73" max="73" width="26.7109" customWidth="true"/>
    <col min="74" max="74" width="16.7109" customWidth="true"/>
    <col min="75" max="75" width="17.7109" customWidth="true"/>
    <col min="76" max="76" width="10.7109" customWidth="true"/>
    <col min="77" max="77" width="27.7109" customWidth="true"/>
    <col min="78" max="78" width="22.7109" customWidth="true"/>
    <col min="79" max="79" width="22.7109" customWidth="true"/>
    <col min="80" max="80" width="23.7109" customWidth="true"/>
    <col min="81" max="81" width="26.7109" customWidth="true"/>
    <col min="82" max="82" width="16.7109" customWidth="true"/>
    <col min="83" max="83" width="17.7109" customWidth="true"/>
    <col min="84" max="84" width="10.7109" customWidth="true"/>
  </cols>
  <sheetData>
    <row r="1" spans="1:84">
      <c r="A1" s="3" t="s">
        <v>1</v>
      </c>
      <c r="B1" s="4" t="s">
        <v>1</v>
      </c>
      <c r="C1" s="4" t="s">
        <v>1</v>
      </c>
      <c r="D1" s="4" t="s">
        <v>1</v>
      </c>
      <c r="E1" s="5" t="s">
        <v>2</v>
      </c>
      <c r="F1" s="6" t="s"/>
      <c r="G1" s="6" t="s"/>
      <c r="H1" s="6" t="s"/>
      <c r="I1" s="6" t="s"/>
      <c r="J1" s="6" t="s"/>
      <c r="K1" s="6" t="s"/>
      <c r="L1" s="7" t="s">
        <v>1</v>
      </c>
      <c r="M1" s="5" t="s">
        <v>3</v>
      </c>
      <c r="N1" s="6" t="s"/>
      <c r="O1" s="6" t="s"/>
      <c r="P1" s="6" t="s"/>
      <c r="Q1" s="6" t="s"/>
      <c r="R1" s="6" t="s"/>
      <c r="S1" s="6" t="s"/>
      <c r="T1" s="7" t="s">
        <v>1</v>
      </c>
      <c r="U1" s="5" t="s">
        <v>4</v>
      </c>
      <c r="V1" s="6" t="s"/>
      <c r="W1" s="6" t="s"/>
      <c r="X1" s="6" t="s"/>
      <c r="Y1" s="6" t="s"/>
      <c r="Z1" s="6" t="s"/>
      <c r="AA1" s="6" t="s"/>
      <c r="AB1" s="7" t="s">
        <v>1</v>
      </c>
      <c r="AC1" s="5" t="s">
        <v>5</v>
      </c>
      <c r="AD1" s="6" t="s"/>
      <c r="AE1" s="6" t="s"/>
      <c r="AF1" s="6" t="s"/>
      <c r="AG1" s="6" t="s"/>
      <c r="AH1" s="6" t="s"/>
      <c r="AI1" s="6" t="s"/>
      <c r="AJ1" s="7" t="s">
        <v>1</v>
      </c>
      <c r="AK1" s="5" t="s">
        <v>6</v>
      </c>
      <c r="AL1" s="6" t="s"/>
      <c r="AM1" s="6" t="s"/>
      <c r="AN1" s="6" t="s"/>
      <c r="AO1" s="6" t="s"/>
      <c r="AP1" s="6" t="s"/>
      <c r="AQ1" s="6" t="s"/>
      <c r="AR1" s="7" t="s">
        <v>1</v>
      </c>
      <c r="AS1" s="5" t="s">
        <v>7</v>
      </c>
      <c r="AT1" s="6" t="s"/>
      <c r="AU1" s="6" t="s"/>
      <c r="AV1" s="6" t="s"/>
      <c r="AW1" s="6" t="s"/>
      <c r="AX1" s="6" t="s"/>
      <c r="AY1" s="6" t="s"/>
      <c r="AZ1" s="7" t="s">
        <v>1</v>
      </c>
      <c r="BA1" s="5" t="s">
        <v>8</v>
      </c>
      <c r="BB1" s="6" t="s"/>
      <c r="BC1" s="6" t="s"/>
      <c r="BD1" s="6" t="s"/>
      <c r="BE1" s="6" t="s"/>
      <c r="BF1" s="6" t="s"/>
      <c r="BG1" s="6" t="s"/>
      <c r="BH1" s="7" t="s">
        <v>1</v>
      </c>
      <c r="BI1" s="5" t="s">
        <v>9</v>
      </c>
      <c r="BJ1" s="6" t="s"/>
      <c r="BK1" s="6" t="s"/>
      <c r="BL1" s="6" t="s"/>
      <c r="BM1" s="6" t="s"/>
      <c r="BN1" s="6" t="s"/>
      <c r="BO1" s="6" t="s"/>
      <c r="BP1" s="7" t="s">
        <v>1</v>
      </c>
      <c r="BQ1" s="5" t="s">
        <v>10</v>
      </c>
      <c r="BR1" s="6" t="s"/>
      <c r="BS1" s="6" t="s"/>
      <c r="BT1" s="6" t="s"/>
      <c r="BU1" s="6" t="s"/>
      <c r="BV1" s="6" t="s"/>
      <c r="BW1" s="6" t="s"/>
      <c r="BX1" s="7" t="s">
        <v>1</v>
      </c>
      <c r="BY1" s="5" t="s">
        <v>11</v>
      </c>
      <c r="BZ1" s="6" t="s"/>
      <c r="CA1" s="6" t="s"/>
      <c r="CB1" s="6" t="s"/>
      <c r="CC1" s="6" t="s"/>
      <c r="CD1" s="6" t="s"/>
      <c r="CE1" s="6" t="s"/>
      <c r="CF1" s="8" t="s">
        <v>1</v>
      </c>
    </row>
    <row r="2" spans="1:84" ht="15" customHeight="true">
      <c r="A2" s="9" t="s">
        <v>1</v>
      </c>
      <c r="B2" s="10" t="s">
        <v>1</v>
      </c>
      <c r="C2" s="10" t="s">
        <v>1</v>
      </c>
      <c r="D2" s="11" t="s">
        <v>1</v>
      </c>
      <c r="E2" s="12" t="s">
        <v>12</v>
      </c>
      <c r="F2" s="6" t="s"/>
      <c r="G2" s="6" t="s"/>
      <c r="H2" s="6" t="s"/>
      <c r="I2" s="13" t="s">
        <v>13</v>
      </c>
      <c r="J2" s="6" t="s"/>
      <c r="K2" s="6" t="s"/>
      <c r="L2" s="10" t="s">
        <v>1</v>
      </c>
      <c r="M2" s="12" t="s">
        <v>12</v>
      </c>
      <c r="N2" s="6" t="s"/>
      <c r="O2" s="6" t="s"/>
      <c r="P2" s="6" t="s"/>
      <c r="Q2" s="13" t="s">
        <v>13</v>
      </c>
      <c r="R2" s="6" t="s"/>
      <c r="S2" s="6" t="s"/>
      <c r="T2" s="10" t="s">
        <v>1</v>
      </c>
      <c r="U2" s="12" t="s">
        <v>12</v>
      </c>
      <c r="V2" s="6" t="s"/>
      <c r="W2" s="6" t="s"/>
      <c r="X2" s="6" t="s"/>
      <c r="Y2" s="13" t="s">
        <v>13</v>
      </c>
      <c r="Z2" s="6" t="s"/>
      <c r="AA2" s="6" t="s"/>
      <c r="AB2" s="10" t="s">
        <v>1</v>
      </c>
      <c r="AC2" s="12" t="s">
        <v>12</v>
      </c>
      <c r="AD2" s="6" t="s"/>
      <c r="AE2" s="6" t="s"/>
      <c r="AF2" s="6" t="s"/>
      <c r="AG2" s="13" t="s">
        <v>13</v>
      </c>
      <c r="AH2" s="6" t="s"/>
      <c r="AI2" s="6" t="s"/>
      <c r="AJ2" s="10" t="s">
        <v>1</v>
      </c>
      <c r="AK2" s="12" t="s">
        <v>12</v>
      </c>
      <c r="AL2" s="6" t="s"/>
      <c r="AM2" s="6" t="s"/>
      <c r="AN2" s="6" t="s"/>
      <c r="AO2" s="13" t="s">
        <v>13</v>
      </c>
      <c r="AP2" s="6" t="s"/>
      <c r="AQ2" s="6" t="s"/>
      <c r="AR2" s="10" t="s">
        <v>1</v>
      </c>
      <c r="AS2" s="12" t="s">
        <v>12</v>
      </c>
      <c r="AT2" s="6" t="s"/>
      <c r="AU2" s="6" t="s"/>
      <c r="AV2" s="6" t="s"/>
      <c r="AW2" s="13" t="s">
        <v>13</v>
      </c>
      <c r="AX2" s="6" t="s"/>
      <c r="AY2" s="6" t="s"/>
      <c r="AZ2" s="10" t="s">
        <v>1</v>
      </c>
      <c r="BA2" s="12" t="s">
        <v>12</v>
      </c>
      <c r="BB2" s="6" t="s"/>
      <c r="BC2" s="6" t="s"/>
      <c r="BD2" s="6" t="s"/>
      <c r="BE2" s="13" t="s">
        <v>13</v>
      </c>
      <c r="BF2" s="6" t="s"/>
      <c r="BG2" s="6" t="s"/>
      <c r="BH2" s="10" t="s">
        <v>1</v>
      </c>
      <c r="BI2" s="12" t="s">
        <v>12</v>
      </c>
      <c r="BJ2" s="6" t="s"/>
      <c r="BK2" s="6" t="s"/>
      <c r="BL2" s="6" t="s"/>
      <c r="BM2" s="13" t="s">
        <v>13</v>
      </c>
      <c r="BN2" s="6" t="s"/>
      <c r="BO2" s="6" t="s"/>
      <c r="BP2" s="10" t="s">
        <v>1</v>
      </c>
      <c r="BQ2" s="12" t="s">
        <v>12</v>
      </c>
      <c r="BR2" s="6" t="s"/>
      <c r="BS2" s="6" t="s"/>
      <c r="BT2" s="6" t="s"/>
      <c r="BU2" s="13" t="s">
        <v>13</v>
      </c>
      <c r="BV2" s="6" t="s"/>
      <c r="BW2" s="6" t="s"/>
      <c r="BX2" s="10" t="s">
        <v>1</v>
      </c>
      <c r="BY2" s="12" t="s">
        <v>12</v>
      </c>
      <c r="BZ2" s="6" t="s"/>
      <c r="CA2" s="6" t="s"/>
      <c r="CB2" s="6" t="s"/>
      <c r="CC2" s="13" t="s">
        <v>13</v>
      </c>
      <c r="CD2" s="6" t="s"/>
      <c r="CE2" s="6" t="s"/>
      <c r="CF2" s="10" t="s">
        <v>1</v>
      </c>
    </row>
    <row r="3" spans="1:84" ht="48.75" customHeight="true">
      <c r="A3" s="14" t="s">
        <v>155</v>
      </c>
      <c r="B3" s="14" t="s">
        <v>156</v>
      </c>
      <c r="C3" s="14" t="s">
        <v>157</v>
      </c>
      <c r="D3" s="15" t="s">
        <v>14</v>
      </c>
      <c r="E3" s="16" t="s">
        <v>15</v>
      </c>
      <c r="F3" s="16" t="s">
        <v>16</v>
      </c>
      <c r="G3" s="16" t="s">
        <v>17</v>
      </c>
      <c r="H3" s="16" t="s">
        <v>18</v>
      </c>
      <c r="I3" s="16" t="s">
        <v>19</v>
      </c>
      <c r="J3" s="16" t="s">
        <v>20</v>
      </c>
      <c r="K3" s="16" t="s">
        <v>21</v>
      </c>
      <c r="L3" s="17" t="s">
        <v>22</v>
      </c>
      <c r="M3" s="16" t="s">
        <v>23</v>
      </c>
      <c r="N3" s="16" t="s">
        <v>24</v>
      </c>
      <c r="O3" s="16" t="s">
        <v>25</v>
      </c>
      <c r="P3" s="16" t="s">
        <v>26</v>
      </c>
      <c r="Q3" s="16" t="s">
        <v>27</v>
      </c>
      <c r="R3" s="16" t="s">
        <v>28</v>
      </c>
      <c r="S3" s="16" t="s">
        <v>29</v>
      </c>
      <c r="T3" s="17" t="s">
        <v>30</v>
      </c>
      <c r="U3" s="16" t="s">
        <v>31</v>
      </c>
      <c r="V3" s="16" t="s">
        <v>32</v>
      </c>
      <c r="W3" s="16" t="s">
        <v>33</v>
      </c>
      <c r="X3" s="16" t="s">
        <v>34</v>
      </c>
      <c r="Y3" s="16" t="s">
        <v>35</v>
      </c>
      <c r="Z3" s="16" t="s">
        <v>36</v>
      </c>
      <c r="AA3" s="16" t="s">
        <v>37</v>
      </c>
      <c r="AB3" s="17" t="s">
        <v>38</v>
      </c>
      <c r="AC3" s="16" t="s">
        <v>39</v>
      </c>
      <c r="AD3" s="16" t="s">
        <v>40</v>
      </c>
      <c r="AE3" s="16" t="s">
        <v>41</v>
      </c>
      <c r="AF3" s="16" t="s">
        <v>42</v>
      </c>
      <c r="AG3" s="16" t="s">
        <v>43</v>
      </c>
      <c r="AH3" s="16" t="s">
        <v>44</v>
      </c>
      <c r="AI3" s="16" t="s">
        <v>45</v>
      </c>
      <c r="AJ3" s="17" t="s">
        <v>46</v>
      </c>
      <c r="AK3" s="16" t="s">
        <v>47</v>
      </c>
      <c r="AL3" s="16" t="s">
        <v>48</v>
      </c>
      <c r="AM3" s="16" t="s">
        <v>49</v>
      </c>
      <c r="AN3" s="16" t="s">
        <v>50</v>
      </c>
      <c r="AO3" s="16" t="s">
        <v>51</v>
      </c>
      <c r="AP3" s="16" t="s">
        <v>52</v>
      </c>
      <c r="AQ3" s="16" t="s">
        <v>53</v>
      </c>
      <c r="AR3" s="17" t="s">
        <v>54</v>
      </c>
      <c r="AS3" s="16" t="s">
        <v>55</v>
      </c>
      <c r="AT3" s="16" t="s">
        <v>56</v>
      </c>
      <c r="AU3" s="16" t="s">
        <v>57</v>
      </c>
      <c r="AV3" s="16" t="s">
        <v>58</v>
      </c>
      <c r="AW3" s="16" t="s">
        <v>59</v>
      </c>
      <c r="AX3" s="16" t="s">
        <v>60</v>
      </c>
      <c r="AY3" s="16" t="s">
        <v>61</v>
      </c>
      <c r="AZ3" s="17" t="s">
        <v>62</v>
      </c>
      <c r="BA3" s="16" t="s">
        <v>63</v>
      </c>
      <c r="BB3" s="16" t="s">
        <v>64</v>
      </c>
      <c r="BC3" s="16" t="s">
        <v>65</v>
      </c>
      <c r="BD3" s="16" t="s">
        <v>66</v>
      </c>
      <c r="BE3" s="16" t="s">
        <v>67</v>
      </c>
      <c r="BF3" s="16" t="s">
        <v>68</v>
      </c>
      <c r="BG3" s="16" t="s">
        <v>69</v>
      </c>
      <c r="BH3" s="17" t="s">
        <v>70</v>
      </c>
      <c r="BI3" s="16" t="s">
        <v>71</v>
      </c>
      <c r="BJ3" s="16" t="s">
        <v>72</v>
      </c>
      <c r="BK3" s="16" t="s">
        <v>73</v>
      </c>
      <c r="BL3" s="16" t="s">
        <v>74</v>
      </c>
      <c r="BM3" s="16" t="s">
        <v>75</v>
      </c>
      <c r="BN3" s="16" t="s">
        <v>76</v>
      </c>
      <c r="BO3" s="16" t="s">
        <v>77</v>
      </c>
      <c r="BP3" s="17" t="s">
        <v>78</v>
      </c>
      <c r="BQ3" s="16" t="s">
        <v>79</v>
      </c>
      <c r="BR3" s="16" t="s">
        <v>80</v>
      </c>
      <c r="BS3" s="16" t="s">
        <v>81</v>
      </c>
      <c r="BT3" s="16" t="s">
        <v>82</v>
      </c>
      <c r="BU3" s="16" t="s">
        <v>83</v>
      </c>
      <c r="BV3" s="16" t="s">
        <v>84</v>
      </c>
      <c r="BW3" s="16" t="s">
        <v>85</v>
      </c>
      <c r="BX3" s="17" t="s">
        <v>86</v>
      </c>
      <c r="BY3" s="16" t="s">
        <v>87</v>
      </c>
      <c r="BZ3" s="16" t="s">
        <v>88</v>
      </c>
      <c r="CA3" s="16" t="s">
        <v>89</v>
      </c>
      <c r="CB3" s="16" t="s">
        <v>90</v>
      </c>
      <c r="CC3" s="16" t="s">
        <v>91</v>
      </c>
      <c r="CD3" s="16" t="s">
        <v>92</v>
      </c>
      <c r="CE3" s="16" t="s">
        <v>93</v>
      </c>
      <c r="CF3" s="18" t="s">
        <v>94</v>
      </c>
    </row>
    <row r="4" spans="1:84">
      <c r="A4" s="19">
        <v>1</v>
      </c>
      <c r="B4" s="20" t="s">
        <v>158</v>
      </c>
      <c r="C4" s="20" t="s">
        <v>95</v>
      </c>
      <c r="D4" s="20" t="s">
        <v>96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2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2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2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2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2">
        <v>0</v>
      </c>
      <c r="AS4" s="21">
        <v>0</v>
      </c>
      <c r="AT4" s="21">
        <v>0</v>
      </c>
      <c r="AU4" s="21">
        <v>0</v>
      </c>
      <c r="AV4" s="21">
        <v>0</v>
      </c>
      <c r="AW4" s="21">
        <v>0</v>
      </c>
      <c r="AX4" s="21">
        <v>0</v>
      </c>
      <c r="AY4" s="21">
        <v>0</v>
      </c>
      <c r="AZ4" s="22">
        <v>0</v>
      </c>
      <c r="BA4" s="21">
        <v>0</v>
      </c>
      <c r="BB4" s="21">
        <v>0</v>
      </c>
      <c r="BC4" s="21">
        <v>0</v>
      </c>
      <c r="BD4" s="21">
        <v>0</v>
      </c>
      <c r="BE4" s="21">
        <v>0</v>
      </c>
      <c r="BF4" s="21">
        <v>0</v>
      </c>
      <c r="BG4" s="21">
        <v>0</v>
      </c>
      <c r="BH4" s="22">
        <v>0</v>
      </c>
      <c r="BI4" s="21">
        <v>0</v>
      </c>
      <c r="BJ4" s="21">
        <v>0</v>
      </c>
      <c r="BK4" s="21">
        <v>0</v>
      </c>
      <c r="BL4" s="21">
        <v>0</v>
      </c>
      <c r="BM4" s="21">
        <v>0</v>
      </c>
      <c r="BN4" s="21">
        <v>0</v>
      </c>
      <c r="BO4" s="21">
        <v>0</v>
      </c>
      <c r="BP4" s="22">
        <v>0</v>
      </c>
      <c r="BQ4" s="21">
        <v>0</v>
      </c>
      <c r="BR4" s="21">
        <v>0</v>
      </c>
      <c r="BS4" s="21">
        <v>0</v>
      </c>
      <c r="BT4" s="21">
        <v>0</v>
      </c>
      <c r="BU4" s="21">
        <v>0</v>
      </c>
      <c r="BV4" s="21">
        <v>0</v>
      </c>
      <c r="BW4" s="21">
        <v>0</v>
      </c>
      <c r="BX4" s="22">
        <v>0</v>
      </c>
      <c r="BY4" s="21">
        <v>0</v>
      </c>
      <c r="BZ4" s="21">
        <v>0</v>
      </c>
      <c r="CA4" s="21">
        <v>0</v>
      </c>
      <c r="CB4" s="21">
        <v>0</v>
      </c>
      <c r="CC4" s="21">
        <v>0</v>
      </c>
      <c r="CD4" s="21">
        <v>0</v>
      </c>
      <c r="CE4" s="21">
        <v>0</v>
      </c>
      <c r="CF4" s="22">
        <v>0</v>
      </c>
    </row>
    <row r="5" spans="1:84">
      <c r="A5" s="19">
        <v>2</v>
      </c>
      <c r="B5" s="20" t="s">
        <v>159</v>
      </c>
      <c r="C5" s="20" t="s">
        <v>95</v>
      </c>
      <c r="D5" s="20" t="s">
        <v>96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2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2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2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2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2">
        <v>0</v>
      </c>
      <c r="AS5" s="21">
        <v>0</v>
      </c>
      <c r="AT5" s="21">
        <v>0</v>
      </c>
      <c r="AU5" s="21">
        <v>0</v>
      </c>
      <c r="AV5" s="21">
        <v>0</v>
      </c>
      <c r="AW5" s="21">
        <v>0</v>
      </c>
      <c r="AX5" s="21">
        <v>0</v>
      </c>
      <c r="AY5" s="21">
        <v>0</v>
      </c>
      <c r="AZ5" s="22">
        <v>0</v>
      </c>
      <c r="BA5" s="21">
        <v>0</v>
      </c>
      <c r="BB5" s="21">
        <v>0</v>
      </c>
      <c r="BC5" s="21">
        <v>0</v>
      </c>
      <c r="BD5" s="21">
        <v>0</v>
      </c>
      <c r="BE5" s="21">
        <v>0</v>
      </c>
      <c r="BF5" s="21">
        <v>0</v>
      </c>
      <c r="BG5" s="21">
        <v>0</v>
      </c>
      <c r="BH5" s="22">
        <v>0</v>
      </c>
      <c r="BI5" s="21">
        <v>0</v>
      </c>
      <c r="BJ5" s="21">
        <v>0</v>
      </c>
      <c r="BK5" s="21">
        <v>0</v>
      </c>
      <c r="BL5" s="21">
        <v>0</v>
      </c>
      <c r="BM5" s="21">
        <v>0</v>
      </c>
      <c r="BN5" s="21">
        <v>0</v>
      </c>
      <c r="BO5" s="21">
        <v>0</v>
      </c>
      <c r="BP5" s="22">
        <v>0</v>
      </c>
      <c r="BQ5" s="21">
        <v>0</v>
      </c>
      <c r="BR5" s="21">
        <v>0</v>
      </c>
      <c r="BS5" s="21">
        <v>0</v>
      </c>
      <c r="BT5" s="21">
        <v>0</v>
      </c>
      <c r="BU5" s="21">
        <v>0</v>
      </c>
      <c r="BV5" s="21">
        <v>0</v>
      </c>
      <c r="BW5" s="21">
        <v>0</v>
      </c>
      <c r="BX5" s="22">
        <v>0</v>
      </c>
      <c r="BY5" s="21">
        <v>0</v>
      </c>
      <c r="BZ5" s="21">
        <v>0</v>
      </c>
      <c r="CA5" s="21">
        <v>0</v>
      </c>
      <c r="CB5" s="21">
        <v>0</v>
      </c>
      <c r="CC5" s="21">
        <v>0</v>
      </c>
      <c r="CD5" s="21">
        <v>0</v>
      </c>
      <c r="CE5" s="21">
        <v>0</v>
      </c>
      <c r="CF5" s="22">
        <v>0</v>
      </c>
    </row>
    <row r="6" spans="1:84">
      <c r="A6" s="19">
        <v>3</v>
      </c>
      <c r="B6" s="20" t="s">
        <v>160</v>
      </c>
      <c r="C6" s="20" t="s">
        <v>97</v>
      </c>
      <c r="D6" s="20" t="s">
        <v>96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2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2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2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2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2">
        <v>0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2">
        <v>0</v>
      </c>
      <c r="BA6" s="21">
        <v>0</v>
      </c>
      <c r="BB6" s="21">
        <v>0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H6" s="22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  <c r="BP6" s="22">
        <v>0</v>
      </c>
      <c r="BQ6" s="21">
        <v>0</v>
      </c>
      <c r="BR6" s="21">
        <v>0</v>
      </c>
      <c r="BS6" s="21">
        <v>0</v>
      </c>
      <c r="BT6" s="21">
        <v>0</v>
      </c>
      <c r="BU6" s="21">
        <v>0</v>
      </c>
      <c r="BV6" s="21">
        <v>0</v>
      </c>
      <c r="BW6" s="21">
        <v>0</v>
      </c>
      <c r="BX6" s="22">
        <v>0</v>
      </c>
      <c r="BY6" s="21">
        <v>0</v>
      </c>
      <c r="BZ6" s="21">
        <v>0</v>
      </c>
      <c r="CA6" s="21">
        <v>0</v>
      </c>
      <c r="CB6" s="21">
        <v>0</v>
      </c>
      <c r="CC6" s="21">
        <v>0</v>
      </c>
      <c r="CD6" s="21">
        <v>0</v>
      </c>
      <c r="CE6" s="21">
        <v>0</v>
      </c>
      <c r="CF6" s="22">
        <v>0</v>
      </c>
    </row>
    <row r="7" spans="1:84">
      <c r="A7" s="19">
        <v>4</v>
      </c>
      <c r="B7" s="20" t="s">
        <v>161</v>
      </c>
      <c r="C7" s="20" t="s">
        <v>97</v>
      </c>
      <c r="D7" s="20" t="s">
        <v>96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2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2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2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2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2">
        <v>0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>
        <v>0</v>
      </c>
      <c r="AY7" s="21">
        <v>0</v>
      </c>
      <c r="AZ7" s="22">
        <v>0</v>
      </c>
      <c r="BA7" s="21">
        <v>0</v>
      </c>
      <c r="BB7" s="21">
        <v>0</v>
      </c>
      <c r="BC7" s="21">
        <v>0</v>
      </c>
      <c r="BD7" s="21">
        <v>0</v>
      </c>
      <c r="BE7" s="21">
        <v>0</v>
      </c>
      <c r="BF7" s="21">
        <v>0</v>
      </c>
      <c r="BG7" s="21">
        <v>0</v>
      </c>
      <c r="BH7" s="22">
        <v>0</v>
      </c>
      <c r="BI7" s="21">
        <v>0</v>
      </c>
      <c r="BJ7" s="21">
        <v>0</v>
      </c>
      <c r="BK7" s="21">
        <v>0</v>
      </c>
      <c r="BL7" s="21">
        <v>0</v>
      </c>
      <c r="BM7" s="21">
        <v>0</v>
      </c>
      <c r="BN7" s="21">
        <v>0</v>
      </c>
      <c r="BO7" s="21">
        <v>0</v>
      </c>
      <c r="BP7" s="22">
        <v>0</v>
      </c>
      <c r="BQ7" s="21">
        <v>0</v>
      </c>
      <c r="BR7" s="21">
        <v>0</v>
      </c>
      <c r="BS7" s="21">
        <v>0</v>
      </c>
      <c r="BT7" s="21">
        <v>0</v>
      </c>
      <c r="BU7" s="21">
        <v>0</v>
      </c>
      <c r="BV7" s="21">
        <v>0</v>
      </c>
      <c r="BW7" s="21">
        <v>0</v>
      </c>
      <c r="BX7" s="22">
        <v>0</v>
      </c>
      <c r="BY7" s="21">
        <v>0</v>
      </c>
      <c r="BZ7" s="21">
        <v>0</v>
      </c>
      <c r="CA7" s="21">
        <v>0</v>
      </c>
      <c r="CB7" s="21">
        <v>0</v>
      </c>
      <c r="CC7" s="21">
        <v>0</v>
      </c>
      <c r="CD7" s="21">
        <v>0</v>
      </c>
      <c r="CE7" s="21">
        <v>0</v>
      </c>
      <c r="CF7" s="22">
        <v>0</v>
      </c>
    </row>
    <row r="8" spans="1:84">
      <c r="A8" s="23">
        <v>5</v>
      </c>
      <c r="B8" s="24" t="s">
        <v>162</v>
      </c>
      <c r="C8" s="24" t="s">
        <v>97</v>
      </c>
      <c r="D8" s="24" t="s">
        <v>98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2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2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2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2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2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2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2">
        <v>0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  <c r="BO8" s="21">
        <v>0</v>
      </c>
      <c r="BP8" s="22">
        <v>0</v>
      </c>
      <c r="BQ8" s="21">
        <v>0</v>
      </c>
      <c r="BR8" s="21">
        <v>0</v>
      </c>
      <c r="BS8" s="21">
        <v>0</v>
      </c>
      <c r="BT8" s="21">
        <v>0</v>
      </c>
      <c r="BU8" s="21">
        <v>0</v>
      </c>
      <c r="BV8" s="21">
        <v>0</v>
      </c>
      <c r="BW8" s="21">
        <v>0</v>
      </c>
      <c r="BX8" s="22">
        <v>0</v>
      </c>
      <c r="BY8" s="21">
        <v>0</v>
      </c>
      <c r="BZ8" s="21">
        <v>0</v>
      </c>
      <c r="CA8" s="21">
        <v>0</v>
      </c>
      <c r="CB8" s="21">
        <v>0</v>
      </c>
      <c r="CC8" s="21">
        <v>0</v>
      </c>
      <c r="CD8" s="21">
        <v>0</v>
      </c>
      <c r="CE8" s="21">
        <v>0</v>
      </c>
      <c r="CF8" s="22">
        <v>0</v>
      </c>
    </row>
    <row r="9" spans="1:84">
      <c r="A9" s="23">
        <v>6</v>
      </c>
      <c r="B9" s="24" t="s">
        <v>163</v>
      </c>
      <c r="C9" s="24" t="s">
        <v>97</v>
      </c>
      <c r="D9" s="24" t="s">
        <v>98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2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2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2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2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2">
        <v>0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1">
        <v>0</v>
      </c>
      <c r="AZ9" s="22">
        <v>0</v>
      </c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F9" s="21">
        <v>0</v>
      </c>
      <c r="BG9" s="21">
        <v>0</v>
      </c>
      <c r="BH9" s="22">
        <v>0</v>
      </c>
      <c r="BI9" s="21">
        <v>0</v>
      </c>
      <c r="BJ9" s="21">
        <v>0</v>
      </c>
      <c r="BK9" s="21">
        <v>0</v>
      </c>
      <c r="BL9" s="21">
        <v>0</v>
      </c>
      <c r="BM9" s="21">
        <v>0</v>
      </c>
      <c r="BN9" s="21">
        <v>0</v>
      </c>
      <c r="BO9" s="21">
        <v>0</v>
      </c>
      <c r="BP9" s="22">
        <v>0</v>
      </c>
      <c r="BQ9" s="21">
        <v>0</v>
      </c>
      <c r="BR9" s="21">
        <v>0</v>
      </c>
      <c r="BS9" s="21">
        <v>0</v>
      </c>
      <c r="BT9" s="21">
        <v>0</v>
      </c>
      <c r="BU9" s="21">
        <v>0</v>
      </c>
      <c r="BV9" s="21">
        <v>0</v>
      </c>
      <c r="BW9" s="21">
        <v>0</v>
      </c>
      <c r="BX9" s="22">
        <v>0</v>
      </c>
      <c r="BY9" s="21">
        <v>0</v>
      </c>
      <c r="BZ9" s="21">
        <v>0</v>
      </c>
      <c r="CA9" s="21">
        <v>0</v>
      </c>
      <c r="CB9" s="21">
        <v>0</v>
      </c>
      <c r="CC9" s="21">
        <v>0</v>
      </c>
      <c r="CD9" s="21">
        <v>0</v>
      </c>
      <c r="CE9" s="21">
        <v>0</v>
      </c>
      <c r="CF9" s="22">
        <v>0</v>
      </c>
    </row>
    <row r="10" spans="1:84">
      <c r="A10" s="23">
        <v>7</v>
      </c>
      <c r="B10" s="24" t="s">
        <v>164</v>
      </c>
      <c r="C10" s="24" t="s">
        <v>99</v>
      </c>
      <c r="D10" s="24" t="s">
        <v>98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2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2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2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2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2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2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2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  <c r="BO10" s="21">
        <v>0</v>
      </c>
      <c r="BP10" s="22">
        <v>0</v>
      </c>
      <c r="BQ10" s="21">
        <v>0</v>
      </c>
      <c r="BR10" s="21">
        <v>0</v>
      </c>
      <c r="BS10" s="21">
        <v>0</v>
      </c>
      <c r="BT10" s="21">
        <v>0</v>
      </c>
      <c r="BU10" s="21">
        <v>0</v>
      </c>
      <c r="BV10" s="21">
        <v>0</v>
      </c>
      <c r="BW10" s="21">
        <v>0</v>
      </c>
      <c r="BX10" s="22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2">
        <v>0</v>
      </c>
    </row>
    <row r="11" spans="1:84">
      <c r="A11" s="25">
        <v>8</v>
      </c>
      <c r="B11" s="26" t="s">
        <v>165</v>
      </c>
      <c r="C11" s="26" t="s">
        <v>99</v>
      </c>
      <c r="D11" s="26" t="s">
        <v>100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2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2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2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2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2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2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2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2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2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2">
        <v>0</v>
      </c>
    </row>
    <row r="12" spans="1:84">
      <c r="A12" s="25">
        <v>9</v>
      </c>
      <c r="B12" s="26" t="s">
        <v>166</v>
      </c>
      <c r="C12" s="26" t="s">
        <v>99</v>
      </c>
      <c r="D12" s="26" t="s">
        <v>100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2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2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2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2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2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2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2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2">
        <v>0</v>
      </c>
      <c r="BQ12" s="21">
        <v>0</v>
      </c>
      <c r="BR12" s="21">
        <v>0</v>
      </c>
      <c r="BS12" s="21">
        <v>0</v>
      </c>
      <c r="BT12" s="21">
        <v>0</v>
      </c>
      <c r="BU12" s="21">
        <v>0</v>
      </c>
      <c r="BV12" s="21">
        <v>0</v>
      </c>
      <c r="BW12" s="21">
        <v>0</v>
      </c>
      <c r="BX12" s="22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2">
        <v>0</v>
      </c>
    </row>
    <row r="13" spans="1:84">
      <c r="A13" s="25">
        <v>10</v>
      </c>
      <c r="B13" s="26" t="s">
        <v>167</v>
      </c>
      <c r="C13" s="26" t="s">
        <v>101</v>
      </c>
      <c r="D13" s="26" t="s">
        <v>100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2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2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2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2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2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2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2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v>0</v>
      </c>
      <c r="BO13" s="21">
        <v>0</v>
      </c>
      <c r="BP13" s="22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2">
        <v>0</v>
      </c>
      <c r="BY13" s="21">
        <v>0</v>
      </c>
      <c r="BZ13" s="21"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2">
        <v>0</v>
      </c>
    </row>
    <row r="14" spans="1:84">
      <c r="A14" s="27">
        <v>11</v>
      </c>
      <c r="B14" s="28" t="s">
        <v>168</v>
      </c>
      <c r="C14" s="28" t="s">
        <v>101</v>
      </c>
      <c r="D14" s="28" t="s">
        <v>102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2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2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2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2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2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2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2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  <c r="BO14" s="21">
        <v>0</v>
      </c>
      <c r="BP14" s="22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2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2">
        <v>0</v>
      </c>
    </row>
    <row r="15" spans="1:84">
      <c r="A15" s="27">
        <v>12</v>
      </c>
      <c r="B15" s="28" t="s">
        <v>169</v>
      </c>
      <c r="C15" s="28" t="s">
        <v>101</v>
      </c>
      <c r="D15" s="28" t="s">
        <v>102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2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2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2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2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2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2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2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2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2">
        <v>0</v>
      </c>
      <c r="BY15" s="21">
        <v>0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2">
        <v>0</v>
      </c>
    </row>
    <row r="16" spans="1:84">
      <c r="A16" s="27">
        <v>13</v>
      </c>
      <c r="B16" s="28" t="s">
        <v>170</v>
      </c>
      <c r="C16" s="28" t="s">
        <v>103</v>
      </c>
      <c r="D16" s="28" t="s">
        <v>102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2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2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2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2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2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2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2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2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2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2">
        <v>0</v>
      </c>
    </row>
    <row r="17" spans="1:84">
      <c r="A17" s="19">
        <v>14</v>
      </c>
      <c r="B17" s="20" t="s">
        <v>171</v>
      </c>
      <c r="C17" s="20" t="s">
        <v>104</v>
      </c>
      <c r="D17" s="20" t="s">
        <v>96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2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2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2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2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2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2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2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2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2">
        <v>0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2">
        <v>0</v>
      </c>
    </row>
    <row r="18" spans="1:84">
      <c r="A18" s="23">
        <v>15</v>
      </c>
      <c r="B18" s="24" t="s">
        <v>172</v>
      </c>
      <c r="C18" s="24" t="s">
        <v>104</v>
      </c>
      <c r="D18" s="24" t="s">
        <v>98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2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2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2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2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2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2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2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  <c r="BO18" s="21">
        <v>0</v>
      </c>
      <c r="BP18" s="22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2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2">
        <v>0</v>
      </c>
    </row>
    <row r="19" spans="1:84">
      <c r="A19" s="23">
        <v>16</v>
      </c>
      <c r="B19" s="24" t="s">
        <v>173</v>
      </c>
      <c r="C19" s="24" t="s">
        <v>104</v>
      </c>
      <c r="D19" s="24" t="s">
        <v>98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2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2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2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2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2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2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2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2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2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2">
        <v>0</v>
      </c>
    </row>
    <row r="20" spans="1:84">
      <c r="A20" s="25">
        <v>17</v>
      </c>
      <c r="B20" s="26" t="s">
        <v>174</v>
      </c>
      <c r="C20" s="26" t="s">
        <v>104</v>
      </c>
      <c r="D20" s="26" t="s">
        <v>100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2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2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2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2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2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2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2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  <c r="BO20" s="21">
        <v>0</v>
      </c>
      <c r="BP20" s="22">
        <v>0</v>
      </c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21">
        <v>0</v>
      </c>
      <c r="BW20" s="21">
        <v>0</v>
      </c>
      <c r="BX20" s="22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2">
        <v>0</v>
      </c>
    </row>
    <row r="21" spans="1:84">
      <c r="A21" s="25">
        <v>18</v>
      </c>
      <c r="B21" s="26" t="s">
        <v>175</v>
      </c>
      <c r="C21" s="26" t="s">
        <v>104</v>
      </c>
      <c r="D21" s="26" t="s">
        <v>100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2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2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2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2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2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2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2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2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2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2">
        <v>0</v>
      </c>
    </row>
    <row r="22" spans="1:84">
      <c r="A22" s="27">
        <v>19</v>
      </c>
      <c r="B22" s="28" t="s">
        <v>176</v>
      </c>
      <c r="C22" s="28" t="s">
        <v>104</v>
      </c>
      <c r="D22" s="28" t="s">
        <v>102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2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2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2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2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2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2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2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P22" s="22">
        <v>0</v>
      </c>
      <c r="BQ22" s="21">
        <v>0</v>
      </c>
      <c r="BR22" s="21">
        <v>0</v>
      </c>
      <c r="BS22" s="21">
        <v>0</v>
      </c>
      <c r="BT22" s="21">
        <v>0</v>
      </c>
      <c r="BU22" s="21">
        <v>0</v>
      </c>
      <c r="BV22" s="21">
        <v>0</v>
      </c>
      <c r="BW22" s="21">
        <v>0</v>
      </c>
      <c r="BX22" s="22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2">
        <v>0</v>
      </c>
    </row>
    <row r="23" spans="1:84">
      <c r="A23" s="27">
        <v>20</v>
      </c>
      <c r="B23" s="28" t="s">
        <v>177</v>
      </c>
      <c r="C23" s="28" t="s">
        <v>105</v>
      </c>
      <c r="D23" s="28" t="s">
        <v>102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2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2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2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2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2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2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2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2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2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2">
        <v>0</v>
      </c>
    </row>
    <row r="24" spans="1:84">
      <c r="A24" s="19">
        <v>21</v>
      </c>
      <c r="B24" s="20" t="s">
        <v>178</v>
      </c>
      <c r="C24" s="20" t="s">
        <v>106</v>
      </c>
      <c r="D24" s="20" t="s">
        <v>96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2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2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2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2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2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0</v>
      </c>
      <c r="AY24" s="21">
        <v>0</v>
      </c>
      <c r="AZ24" s="22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H24" s="22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v>0</v>
      </c>
      <c r="BO24" s="21">
        <v>0</v>
      </c>
      <c r="BP24" s="22">
        <v>0</v>
      </c>
      <c r="BQ24" s="21">
        <v>0</v>
      </c>
      <c r="BR24" s="21">
        <v>0</v>
      </c>
      <c r="BS24" s="21">
        <v>0</v>
      </c>
      <c r="BT24" s="21">
        <v>0</v>
      </c>
      <c r="BU24" s="21">
        <v>0</v>
      </c>
      <c r="BV24" s="21">
        <v>0</v>
      </c>
      <c r="BW24" s="21">
        <v>0</v>
      </c>
      <c r="BX24" s="22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2">
        <v>0</v>
      </c>
    </row>
    <row r="25" spans="1:84">
      <c r="A25" s="23">
        <v>22</v>
      </c>
      <c r="B25" s="24" t="s">
        <v>179</v>
      </c>
      <c r="C25" s="24" t="s">
        <v>106</v>
      </c>
      <c r="D25" s="24" t="s">
        <v>98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2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2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2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2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2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0</v>
      </c>
      <c r="AY25" s="21">
        <v>0</v>
      </c>
      <c r="AZ25" s="22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2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2">
        <v>0</v>
      </c>
      <c r="BQ25" s="21">
        <v>0</v>
      </c>
      <c r="BR25" s="21">
        <v>0</v>
      </c>
      <c r="BS25" s="21">
        <v>0</v>
      </c>
      <c r="BT25" s="21">
        <v>0</v>
      </c>
      <c r="BU25" s="21">
        <v>0</v>
      </c>
      <c r="BV25" s="21">
        <v>0</v>
      </c>
      <c r="BW25" s="21">
        <v>0</v>
      </c>
      <c r="BX25" s="22">
        <v>0</v>
      </c>
      <c r="BY25" s="21">
        <v>0</v>
      </c>
      <c r="BZ25" s="21"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  <c r="CF25" s="22">
        <v>0</v>
      </c>
    </row>
    <row r="26" spans="1:84">
      <c r="A26" s="29">
        <v>23</v>
      </c>
      <c r="B26" s="26" t="s">
        <v>180</v>
      </c>
      <c r="C26" s="26" t="s">
        <v>106</v>
      </c>
      <c r="D26" s="26" t="s">
        <v>100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2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2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2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2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2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2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2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  <c r="BO26" s="21">
        <v>0</v>
      </c>
      <c r="BP26" s="22">
        <v>0</v>
      </c>
      <c r="BQ26" s="21">
        <v>0</v>
      </c>
      <c r="BR26" s="21">
        <v>0</v>
      </c>
      <c r="BS26" s="21">
        <v>0</v>
      </c>
      <c r="BT26" s="21">
        <v>0</v>
      </c>
      <c r="BU26" s="21">
        <v>0</v>
      </c>
      <c r="BV26" s="21">
        <v>0</v>
      </c>
      <c r="BW26" s="21">
        <v>0</v>
      </c>
      <c r="BX26" s="22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2">
        <v>0</v>
      </c>
    </row>
    <row r="27" spans="1:84">
      <c r="A27" s="27">
        <v>24</v>
      </c>
      <c r="B27" s="28" t="s">
        <v>181</v>
      </c>
      <c r="C27" s="28" t="s">
        <v>106</v>
      </c>
      <c r="D27" s="28" t="s">
        <v>102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2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2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2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2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2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2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2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2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2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2">
        <v>0</v>
      </c>
    </row>
    <row r="28" spans="1:84">
      <c r="A28" s="27">
        <v>25</v>
      </c>
      <c r="B28" s="28" t="s">
        <v>182</v>
      </c>
      <c r="C28" s="28" t="s">
        <v>106</v>
      </c>
      <c r="D28" s="28" t="s">
        <v>102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2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2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2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2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2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2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2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  <c r="BO28" s="21">
        <v>0</v>
      </c>
      <c r="BP28" s="22">
        <v>0</v>
      </c>
      <c r="BQ28" s="21">
        <v>0</v>
      </c>
      <c r="BR28" s="21">
        <v>0</v>
      </c>
      <c r="BS28" s="21">
        <v>0</v>
      </c>
      <c r="BT28" s="21">
        <v>0</v>
      </c>
      <c r="BU28" s="21">
        <v>0</v>
      </c>
      <c r="BV28" s="21">
        <v>0</v>
      </c>
      <c r="BW28" s="21">
        <v>0</v>
      </c>
      <c r="BX28" s="22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2">
        <v>0</v>
      </c>
    </row>
    <row r="29" spans="1:84">
      <c r="A29" s="29">
        <v>26</v>
      </c>
      <c r="B29" s="30" t="s">
        <v>183</v>
      </c>
      <c r="C29" s="26" t="s">
        <v>106</v>
      </c>
      <c r="D29" s="26" t="s">
        <v>100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2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2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2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2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2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2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2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2">
        <v>0</v>
      </c>
      <c r="BQ29" s="21">
        <v>0</v>
      </c>
      <c r="BR29" s="21">
        <v>0</v>
      </c>
      <c r="BS29" s="21">
        <v>0</v>
      </c>
      <c r="BT29" s="21">
        <v>0</v>
      </c>
      <c r="BU29" s="21">
        <v>0</v>
      </c>
      <c r="BV29" s="21">
        <v>0</v>
      </c>
      <c r="BW29" s="21">
        <v>0</v>
      </c>
      <c r="BX29" s="22">
        <v>0</v>
      </c>
      <c r="BY29" s="21">
        <v>0</v>
      </c>
      <c r="BZ29" s="21">
        <v>0</v>
      </c>
      <c r="CA29" s="21">
        <v>0</v>
      </c>
      <c r="CB29" s="21">
        <v>0</v>
      </c>
      <c r="CC29" s="21">
        <v>0</v>
      </c>
      <c r="CD29" s="21">
        <v>0</v>
      </c>
      <c r="CE29" s="21">
        <v>0</v>
      </c>
      <c r="CF29" s="22">
        <v>0</v>
      </c>
    </row>
    <row r="30" spans="1:84">
      <c r="A30" s="31">
        <v>27</v>
      </c>
      <c r="B30" s="32" t="s">
        <v>184</v>
      </c>
      <c r="C30" s="32" t="s">
        <v>106</v>
      </c>
      <c r="D30" s="32" t="s">
        <v>96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2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2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2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2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2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2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2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2">
        <v>0</v>
      </c>
      <c r="BQ30" s="21">
        <v>0</v>
      </c>
      <c r="BR30" s="21">
        <v>0</v>
      </c>
      <c r="BS30" s="21">
        <v>0</v>
      </c>
      <c r="BT30" s="21">
        <v>0</v>
      </c>
      <c r="BU30" s="21">
        <v>0</v>
      </c>
      <c r="BV30" s="21">
        <v>0</v>
      </c>
      <c r="BW30" s="21">
        <v>0</v>
      </c>
      <c r="BX30" s="22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2">
        <v>0</v>
      </c>
    </row>
  </sheetData>
  <mergeCells count="30">
    <mergeCell ref="AK1:AQ1"/>
    <mergeCell ref="AS1:AY1"/>
    <mergeCell ref="BA1:BG1"/>
    <mergeCell ref="BI1:BO1"/>
    <mergeCell ref="BQ1:BW1"/>
    <mergeCell ref="BY1:CE1"/>
    <mergeCell ref="AS2:AV2"/>
    <mergeCell ref="AW2:AY2"/>
    <mergeCell ref="BA2:BD2"/>
    <mergeCell ref="BE2:BG2"/>
    <mergeCell ref="BI2:BL2"/>
    <mergeCell ref="BM2:BO2"/>
    <mergeCell ref="AK2:AN2"/>
    <mergeCell ref="AO2:AQ2"/>
    <mergeCell ref="BQ2:BT2"/>
    <mergeCell ref="BU2:BW2"/>
    <mergeCell ref="BY2:CB2"/>
    <mergeCell ref="CC2:CE2"/>
    <mergeCell ref="E1:K1"/>
    <mergeCell ref="M1:S1"/>
    <mergeCell ref="U1:AA1"/>
    <mergeCell ref="AC1:AI1"/>
    <mergeCell ref="U2:X2"/>
    <mergeCell ref="Y2:AA2"/>
    <mergeCell ref="AC2:AF2"/>
    <mergeCell ref="AG2:AI2"/>
    <mergeCell ref="E2:H2"/>
    <mergeCell ref="I2:K2"/>
    <mergeCell ref="M2:P2"/>
    <mergeCell ref="Q2:S2"/>
  </mergeCells>
  <dataValidations>
    <dataValidation type="whole" errorStyle="stop" allowBlank="true" showDropDown="false" showInputMessage="true" showErrorMessage="true" prompt="" sqref="E4:E30">
      <formula1/>
      <formula2/>
    </dataValidation>
    <dataValidation type="whole" errorStyle="stop" allowBlank="true" showDropDown="false" showInputMessage="true" showErrorMessage="true" prompt="" sqref="F4:F30">
      <formula1/>
      <formula2/>
    </dataValidation>
    <dataValidation type="whole" errorStyle="stop" allowBlank="true" showDropDown="false" showInputMessage="true" showErrorMessage="true" prompt="" sqref="G4:G30">
      <formula1/>
      <formula2/>
    </dataValidation>
    <dataValidation type="whole" errorStyle="stop" allowBlank="true" showDropDown="false" showInputMessage="true" showErrorMessage="true" prompt="" sqref="H4:H30">
      <formula1/>
      <formula2/>
    </dataValidation>
    <dataValidation type="whole" errorStyle="stop" allowBlank="true" showDropDown="false" showInputMessage="true" showErrorMessage="true" prompt="" sqref="I4:I30">
      <formula1/>
      <formula2/>
    </dataValidation>
    <dataValidation type="whole" errorStyle="stop" allowBlank="true" showDropDown="false" showInputMessage="true" showErrorMessage="true" prompt="" sqref="J4:J30">
      <formula1/>
      <formula2/>
    </dataValidation>
    <dataValidation type="whole" errorStyle="stop" allowBlank="true" showDropDown="false" showInputMessage="true" showErrorMessage="true" prompt="" sqref="K4:K30">
      <formula1/>
      <formula2/>
    </dataValidation>
    <dataValidation type="whole" errorStyle="stop" allowBlank="true" showDropDown="false" showInputMessage="true" showErrorMessage="true" prompt="" sqref="L4:L30">
      <formula1/>
      <formula2/>
    </dataValidation>
    <dataValidation type="whole" errorStyle="stop" allowBlank="true" showDropDown="false" showInputMessage="true" showErrorMessage="true" prompt="" sqref="M4:M30">
      <formula1/>
      <formula2/>
    </dataValidation>
    <dataValidation type="whole" errorStyle="stop" allowBlank="true" showDropDown="false" showInputMessage="true" showErrorMessage="true" prompt="" sqref="N4:N30">
      <formula1/>
      <formula2/>
    </dataValidation>
    <dataValidation type="whole" errorStyle="stop" allowBlank="true" showDropDown="false" showInputMessage="true" showErrorMessage="true" prompt="" sqref="O4:O30">
      <formula1/>
      <formula2/>
    </dataValidation>
    <dataValidation type="whole" errorStyle="stop" allowBlank="true" showDropDown="false" showInputMessage="true" showErrorMessage="true" prompt="" sqref="P4:P30">
      <formula1/>
      <formula2/>
    </dataValidation>
    <dataValidation type="whole" errorStyle="stop" allowBlank="true" showDropDown="false" showInputMessage="true" showErrorMessage="true" prompt="" sqref="Q4:Q30">
      <formula1/>
      <formula2/>
    </dataValidation>
    <dataValidation type="whole" errorStyle="stop" allowBlank="true" showDropDown="false" showInputMessage="true" showErrorMessage="true" prompt="" sqref="R4:R30">
      <formula1/>
      <formula2/>
    </dataValidation>
    <dataValidation type="whole" errorStyle="stop" allowBlank="true" showDropDown="false" showInputMessage="true" showErrorMessage="true" prompt="" sqref="S4:S30">
      <formula1/>
      <formula2/>
    </dataValidation>
    <dataValidation type="whole" errorStyle="stop" allowBlank="true" showDropDown="false" showInputMessage="true" showErrorMessage="true" prompt="" sqref="T4:T30">
      <formula1/>
      <formula2/>
    </dataValidation>
    <dataValidation type="whole" errorStyle="stop" allowBlank="true" showDropDown="false" showInputMessage="true" showErrorMessage="true" prompt="" sqref="U4:U30">
      <formula1/>
      <formula2/>
    </dataValidation>
    <dataValidation type="whole" errorStyle="stop" allowBlank="true" showDropDown="false" showInputMessage="true" showErrorMessage="true" prompt="" sqref="V4:V30">
      <formula1/>
      <formula2/>
    </dataValidation>
    <dataValidation type="whole" errorStyle="stop" allowBlank="true" showDropDown="false" showInputMessage="true" showErrorMessage="true" prompt="" sqref="W4:W30">
      <formula1/>
      <formula2/>
    </dataValidation>
    <dataValidation type="whole" errorStyle="stop" allowBlank="true" showDropDown="false" showInputMessage="true" showErrorMessage="true" prompt="" sqref="X4:X30">
      <formula1/>
      <formula2/>
    </dataValidation>
    <dataValidation type="whole" errorStyle="stop" allowBlank="true" showDropDown="false" showInputMessage="true" showErrorMessage="true" prompt="" sqref="Y4:Y30">
      <formula1/>
      <formula2/>
    </dataValidation>
    <dataValidation type="whole" errorStyle="stop" allowBlank="true" showDropDown="false" showInputMessage="true" showErrorMessage="true" prompt="" sqref="Z4:Z30">
      <formula1/>
      <formula2/>
    </dataValidation>
    <dataValidation type="whole" errorStyle="stop" allowBlank="true" showDropDown="false" showInputMessage="true" showErrorMessage="true" prompt="" sqref="AA4:AA30">
      <formula1/>
      <formula2/>
    </dataValidation>
    <dataValidation type="whole" errorStyle="stop" allowBlank="true" showDropDown="false" showInputMessage="true" showErrorMessage="true" prompt="" sqref="AB4:AB30">
      <formula1/>
      <formula2/>
    </dataValidation>
    <dataValidation type="whole" errorStyle="stop" allowBlank="true" showDropDown="false" showInputMessage="true" showErrorMessage="true" prompt="" sqref="AC4:AC30">
      <formula1/>
      <formula2/>
    </dataValidation>
    <dataValidation type="whole" errorStyle="stop" allowBlank="true" showDropDown="false" showInputMessage="true" showErrorMessage="true" prompt="" sqref="AD4:AD30">
      <formula1/>
      <formula2/>
    </dataValidation>
    <dataValidation type="whole" errorStyle="stop" allowBlank="true" showDropDown="false" showInputMessage="true" showErrorMessage="true" prompt="" sqref="AE4:AE30">
      <formula1/>
      <formula2/>
    </dataValidation>
    <dataValidation type="whole" errorStyle="stop" allowBlank="true" showDropDown="false" showInputMessage="true" showErrorMessage="true" prompt="" sqref="AF4:AF30">
      <formula1/>
      <formula2/>
    </dataValidation>
    <dataValidation type="whole" errorStyle="stop" allowBlank="true" showDropDown="false" showInputMessage="true" showErrorMessage="true" prompt="" sqref="AG4:AG30">
      <formula1/>
      <formula2/>
    </dataValidation>
    <dataValidation type="whole" errorStyle="stop" allowBlank="true" showDropDown="false" showInputMessage="true" showErrorMessage="true" prompt="" sqref="AH4:AH30">
      <formula1/>
      <formula2/>
    </dataValidation>
    <dataValidation type="whole" errorStyle="stop" allowBlank="true" showDropDown="false" showInputMessage="true" showErrorMessage="true" prompt="" sqref="AI4:AI30">
      <formula1/>
      <formula2/>
    </dataValidation>
    <dataValidation type="whole" errorStyle="stop" allowBlank="true" showDropDown="false" showInputMessage="true" showErrorMessage="true" prompt="" sqref="AJ4:AJ30">
      <formula1/>
      <formula2/>
    </dataValidation>
    <dataValidation type="whole" errorStyle="stop" allowBlank="true" showDropDown="false" showInputMessage="true" showErrorMessage="true" prompt="" sqref="AK4:AK30">
      <formula1/>
      <formula2/>
    </dataValidation>
    <dataValidation type="whole" errorStyle="stop" allowBlank="true" showDropDown="false" showInputMessage="true" showErrorMessage="true" prompt="" sqref="AL4:AL30">
      <formula1/>
      <formula2/>
    </dataValidation>
    <dataValidation type="whole" errorStyle="stop" allowBlank="true" showDropDown="false" showInputMessage="true" showErrorMessage="true" prompt="" sqref="AM4:AM30">
      <formula1/>
      <formula2/>
    </dataValidation>
    <dataValidation type="whole" errorStyle="stop" allowBlank="true" showDropDown="false" showInputMessage="true" showErrorMessage="true" prompt="" sqref="AN4:AN30">
      <formula1/>
      <formula2/>
    </dataValidation>
    <dataValidation type="whole" errorStyle="stop" allowBlank="true" showDropDown="false" showInputMessage="true" showErrorMessage="true" prompt="" sqref="AO4:AO30">
      <formula1/>
      <formula2/>
    </dataValidation>
    <dataValidation type="whole" errorStyle="stop" allowBlank="true" showDropDown="false" showInputMessage="true" showErrorMessage="true" prompt="" sqref="AP4:AP30">
      <formula1/>
      <formula2/>
    </dataValidation>
    <dataValidation type="whole" errorStyle="stop" allowBlank="true" showDropDown="false" showInputMessage="true" showErrorMessage="true" prompt="" sqref="AQ4:AQ30">
      <formula1/>
      <formula2/>
    </dataValidation>
    <dataValidation type="whole" errorStyle="stop" allowBlank="true" showDropDown="false" showInputMessage="true" showErrorMessage="true" prompt="" sqref="AR4:AR30">
      <formula1/>
      <formula2/>
    </dataValidation>
    <dataValidation type="whole" errorStyle="stop" allowBlank="true" showDropDown="false" showInputMessage="true" showErrorMessage="true" prompt="" sqref="AS4:AS30">
      <formula1/>
      <formula2/>
    </dataValidation>
    <dataValidation type="whole" errorStyle="stop" allowBlank="true" showDropDown="false" showInputMessage="true" showErrorMessage="true" prompt="" sqref="AT4:AT30">
      <formula1/>
      <formula2/>
    </dataValidation>
    <dataValidation type="whole" errorStyle="stop" allowBlank="true" showDropDown="false" showInputMessage="true" showErrorMessage="true" prompt="" sqref="AU4:AU30">
      <formula1/>
      <formula2/>
    </dataValidation>
    <dataValidation type="whole" errorStyle="stop" allowBlank="true" showDropDown="false" showInputMessage="true" showErrorMessage="true" prompt="" sqref="AV4:AV30">
      <formula1/>
      <formula2/>
    </dataValidation>
    <dataValidation type="whole" errorStyle="stop" allowBlank="true" showDropDown="false" showInputMessage="true" showErrorMessage="true" prompt="" sqref="AW4:AW30">
      <formula1/>
      <formula2/>
    </dataValidation>
    <dataValidation type="whole" errorStyle="stop" allowBlank="true" showDropDown="false" showInputMessage="true" showErrorMessage="true" prompt="" sqref="AX4:AX30">
      <formula1/>
      <formula2/>
    </dataValidation>
    <dataValidation type="whole" errorStyle="stop" allowBlank="true" showDropDown="false" showInputMessage="true" showErrorMessage="true" prompt="" sqref="AY4:AY30">
      <formula1/>
      <formula2/>
    </dataValidation>
    <dataValidation type="whole" errorStyle="stop" allowBlank="true" showDropDown="false" showInputMessage="true" showErrorMessage="true" prompt="" sqref="AZ4:AZ30">
      <formula1/>
      <formula2/>
    </dataValidation>
    <dataValidation type="whole" errorStyle="stop" allowBlank="true" showDropDown="false" showInputMessage="true" showErrorMessage="true" prompt="" sqref="BA4:BA30">
      <formula1/>
      <formula2/>
    </dataValidation>
    <dataValidation type="whole" errorStyle="stop" allowBlank="true" showDropDown="false" showInputMessage="true" showErrorMessage="true" prompt="" sqref="BB4:BB30">
      <formula1/>
      <formula2/>
    </dataValidation>
    <dataValidation type="whole" errorStyle="stop" allowBlank="true" showDropDown="false" showInputMessage="true" showErrorMessage="true" prompt="" sqref="BC4:BC30">
      <formula1/>
      <formula2/>
    </dataValidation>
    <dataValidation type="whole" errorStyle="stop" allowBlank="true" showDropDown="false" showInputMessage="true" showErrorMessage="true" prompt="" sqref="BD4:BD30">
      <formula1/>
      <formula2/>
    </dataValidation>
    <dataValidation type="whole" errorStyle="stop" allowBlank="true" showDropDown="false" showInputMessage="true" showErrorMessage="true" prompt="" sqref="BE4:BE30">
      <formula1/>
      <formula2/>
    </dataValidation>
    <dataValidation type="whole" errorStyle="stop" allowBlank="true" showDropDown="false" showInputMessage="true" showErrorMessage="true" prompt="" sqref="BF4:BF30">
      <formula1/>
      <formula2/>
    </dataValidation>
    <dataValidation type="whole" errorStyle="stop" allowBlank="true" showDropDown="false" showInputMessage="true" showErrorMessage="true" prompt="" sqref="BG4:BG30">
      <formula1/>
      <formula2/>
    </dataValidation>
    <dataValidation type="whole" errorStyle="stop" allowBlank="true" showDropDown="false" showInputMessage="true" showErrorMessage="true" prompt="" sqref="BH4:BH30">
      <formula1/>
      <formula2/>
    </dataValidation>
    <dataValidation type="whole" errorStyle="stop" allowBlank="true" showDropDown="false" showInputMessage="true" showErrorMessage="true" prompt="" sqref="BI4:BI30">
      <formula1/>
      <formula2/>
    </dataValidation>
    <dataValidation type="whole" errorStyle="stop" allowBlank="true" showDropDown="false" showInputMessage="true" showErrorMessage="true" prompt="" sqref="BJ4:BJ30">
      <formula1/>
      <formula2/>
    </dataValidation>
    <dataValidation type="whole" errorStyle="stop" allowBlank="true" showDropDown="false" showInputMessage="true" showErrorMessage="true" prompt="" sqref="BK4:BK30">
      <formula1/>
      <formula2/>
    </dataValidation>
    <dataValidation type="whole" errorStyle="stop" allowBlank="true" showDropDown="false" showInputMessage="true" showErrorMessage="true" prompt="" sqref="BL4:BL30">
      <formula1/>
      <formula2/>
    </dataValidation>
    <dataValidation type="whole" errorStyle="stop" allowBlank="true" showDropDown="false" showInputMessage="true" showErrorMessage="true" prompt="" sqref="BM4:BM30">
      <formula1/>
      <formula2/>
    </dataValidation>
    <dataValidation type="whole" errorStyle="stop" allowBlank="true" showDropDown="false" showInputMessage="true" showErrorMessage="true" prompt="" sqref="BN4:BN30">
      <formula1/>
      <formula2/>
    </dataValidation>
    <dataValidation type="whole" errorStyle="stop" allowBlank="true" showDropDown="false" showInputMessage="true" showErrorMessage="true" prompt="" sqref="BO4:BO30">
      <formula1/>
      <formula2/>
    </dataValidation>
    <dataValidation type="whole" errorStyle="stop" allowBlank="true" showDropDown="false" showInputMessage="true" showErrorMessage="true" prompt="" sqref="BP4:BP30">
      <formula1/>
      <formula2/>
    </dataValidation>
    <dataValidation type="whole" errorStyle="stop" allowBlank="true" showDropDown="false" showInputMessage="true" showErrorMessage="true" prompt="" sqref="BQ4:BQ30">
      <formula1/>
      <formula2/>
    </dataValidation>
    <dataValidation type="whole" errorStyle="stop" allowBlank="true" showDropDown="false" showInputMessage="true" showErrorMessage="true" prompt="" sqref="BR4:BR30">
      <formula1/>
      <formula2/>
    </dataValidation>
    <dataValidation type="whole" errorStyle="stop" allowBlank="true" showDropDown="false" showInputMessage="true" showErrorMessage="true" prompt="" sqref="BS4:BS30">
      <formula1/>
      <formula2/>
    </dataValidation>
    <dataValidation type="whole" errorStyle="stop" allowBlank="true" showDropDown="false" showInputMessage="true" showErrorMessage="true" prompt="" sqref="BT4:BT30">
      <formula1/>
      <formula2/>
    </dataValidation>
    <dataValidation type="whole" errorStyle="stop" allowBlank="true" showDropDown="false" showInputMessage="true" showErrorMessage="true" prompt="" sqref="BU4:BU30">
      <formula1/>
      <formula2/>
    </dataValidation>
    <dataValidation type="whole" errorStyle="stop" allowBlank="true" showDropDown="false" showInputMessage="true" showErrorMessage="true" prompt="" sqref="BV4:BV30">
      <formula1/>
      <formula2/>
    </dataValidation>
    <dataValidation type="whole" errorStyle="stop" allowBlank="true" showDropDown="false" showInputMessage="true" showErrorMessage="true" prompt="" sqref="BW4:BW30">
      <formula1/>
      <formula2/>
    </dataValidation>
    <dataValidation type="whole" errorStyle="stop" allowBlank="true" showDropDown="false" showInputMessage="true" showErrorMessage="true" prompt="" sqref="BX4:BX30">
      <formula1/>
      <formula2/>
    </dataValidation>
    <dataValidation type="whole" errorStyle="stop" allowBlank="true" showDropDown="false" showInputMessage="true" showErrorMessage="true" prompt="" sqref="BY4:BY30">
      <formula1/>
      <formula2/>
    </dataValidation>
    <dataValidation type="whole" errorStyle="stop" allowBlank="true" showDropDown="false" showInputMessage="true" showErrorMessage="true" prompt="" sqref="BZ4:BZ30">
      <formula1/>
      <formula2/>
    </dataValidation>
    <dataValidation type="whole" errorStyle="stop" allowBlank="true" showDropDown="false" showInputMessage="true" showErrorMessage="true" prompt="" sqref="CA4:CA30">
      <formula1/>
      <formula2/>
    </dataValidation>
    <dataValidation type="whole" errorStyle="stop" allowBlank="true" showDropDown="false" showInputMessage="true" showErrorMessage="true" prompt="" sqref="CB4:CB30">
      <formula1/>
      <formula2/>
    </dataValidation>
    <dataValidation type="whole" errorStyle="stop" allowBlank="true" showDropDown="false" showInputMessage="true" showErrorMessage="true" prompt="" sqref="CC4:CC30">
      <formula1/>
      <formula2/>
    </dataValidation>
    <dataValidation type="whole" errorStyle="stop" allowBlank="true" showDropDown="false" showInputMessage="true" showErrorMessage="true" prompt="" sqref="CD4:CD30">
      <formula1/>
      <formula2/>
    </dataValidation>
    <dataValidation type="whole" errorStyle="stop" allowBlank="true" showDropDown="false" showInputMessage="true" showErrorMessage="true" prompt="" sqref="CE4:CE30">
      <formula1/>
      <formula2/>
    </dataValidation>
    <dataValidation type="whole" errorStyle="stop" allowBlank="true" showDropDown="false" showInputMessage="true" showErrorMessage="true" prompt="" sqref="CF4:CF30">
      <formula1/>
      <formula2/>
    </dataValidation>
  </dataValidations>
</worksheet>
</file>

<file path=xl/worksheets/sheet13.xml><?xml version="1.0" encoding="utf-8"?>
<worksheet xmlns="http://schemas.openxmlformats.org/spreadsheetml/2006/main">
  <sheetPr codeName="Julie">
    <tabColor rgb="FFFFFFFF"/>
  </sheetPr>
  <dimension ref="CF30"/>
  <sheetViews>
    <sheetView showGridLines="true" workbookViewId="0">
      <pane xSplit="4" ySplit="3" topLeftCell="E4" state="frozen"/>
    </sheetView>
  </sheetViews>
  <cols>
    <col min="1" max="1" width="9.71094" customWidth="true"/>
    <col min="2" max="2" width="18.7109" customWidth="true"/>
    <col min="3" max="3" width="17.7109" customWidth="true"/>
    <col min="4" max="4" width="12.7109" customWidth="true"/>
    <col min="5" max="5" width="25.7109" customWidth="true"/>
    <col min="6" max="6" width="20.7109" customWidth="true"/>
    <col min="7" max="7" width="20.7109" customWidth="true"/>
    <col min="8" max="8" width="21.7109" customWidth="true"/>
    <col min="9" max="9" width="24.7109" customWidth="true"/>
    <col min="10" max="10" width="14.7109" customWidth="true"/>
    <col min="11" max="11" width="15.7109" customWidth="true"/>
    <col min="12" max="12" width="10.7109" customWidth="true"/>
    <col min="13" max="13" width="26.7109" customWidth="true"/>
    <col min="14" max="14" width="22.7109" customWidth="true"/>
    <col min="15" max="15" width="21.7109" customWidth="true"/>
    <col min="16" max="16" width="22.7109" customWidth="true"/>
    <col min="17" max="17" width="25.7109" customWidth="true"/>
    <col min="18" max="18" width="15.7109" customWidth="true"/>
    <col min="19" max="19" width="16.7109" customWidth="true"/>
    <col min="20" max="20" width="10.7109" customWidth="true"/>
    <col min="21" max="21" width="27.7109" customWidth="true"/>
    <col min="22" max="22" width="22.7109" customWidth="true"/>
    <col min="23" max="23" width="22.7109" customWidth="true"/>
    <col min="24" max="24" width="23.7109" customWidth="true"/>
    <col min="25" max="25" width="26.7109" customWidth="true"/>
    <col min="26" max="26" width="16.7109" customWidth="true"/>
    <col min="27" max="27" width="17.7109" customWidth="true"/>
    <col min="28" max="28" width="10.7109" customWidth="true"/>
    <col min="29" max="29" width="27.7109" customWidth="true"/>
    <col min="30" max="30" width="22.7109" customWidth="true"/>
    <col min="31" max="31" width="22.7109" customWidth="true"/>
    <col min="32" max="32" width="23.7109" customWidth="true"/>
    <col min="33" max="33" width="26.7109" customWidth="true"/>
    <col min="34" max="34" width="16.7109" customWidth="true"/>
    <col min="35" max="35" width="17.7109" customWidth="true"/>
    <col min="36" max="36" width="10.7109" customWidth="true"/>
    <col min="37" max="37" width="27.7109" customWidth="true"/>
    <col min="38" max="38" width="22.7109" customWidth="true"/>
    <col min="39" max="39" width="22.7109" customWidth="true"/>
    <col min="40" max="40" width="23.7109" customWidth="true"/>
    <col min="41" max="41" width="26.7109" customWidth="true"/>
    <col min="42" max="42" width="16.7109" customWidth="true"/>
    <col min="43" max="43" width="17.7109" customWidth="true"/>
    <col min="44" max="44" width="10.7109" customWidth="true"/>
    <col min="45" max="45" width="27.7109" customWidth="true"/>
    <col min="46" max="46" width="22.7109" customWidth="true"/>
    <col min="47" max="47" width="22.7109" customWidth="true"/>
    <col min="48" max="48" width="23.7109" customWidth="true"/>
    <col min="49" max="49" width="26.7109" customWidth="true"/>
    <col min="50" max="50" width="16.7109" customWidth="true"/>
    <col min="51" max="51" width="17.7109" customWidth="true"/>
    <col min="52" max="52" width="10.7109" customWidth="true"/>
    <col min="53" max="53" width="27.7109" customWidth="true"/>
    <col min="54" max="54" width="22.7109" customWidth="true"/>
    <col min="55" max="55" width="22.7109" customWidth="true"/>
    <col min="56" max="56" width="23.7109" customWidth="true"/>
    <col min="57" max="57" width="26.7109" customWidth="true"/>
    <col min="58" max="58" width="16.7109" customWidth="true"/>
    <col min="59" max="59" width="17.7109" customWidth="true"/>
    <col min="60" max="60" width="10.7109" customWidth="true"/>
    <col min="61" max="61" width="27.7109" customWidth="true"/>
    <col min="62" max="62" width="22.7109" customWidth="true"/>
    <col min="63" max="63" width="22.7109" customWidth="true"/>
    <col min="64" max="64" width="23.7109" customWidth="true"/>
    <col min="65" max="65" width="26.7109" customWidth="true"/>
    <col min="66" max="66" width="16.7109" customWidth="true"/>
    <col min="67" max="67" width="17.7109" customWidth="true"/>
    <col min="68" max="68" width="10.7109" customWidth="true"/>
    <col min="69" max="69" width="27.7109" customWidth="true"/>
    <col min="70" max="70" width="22.7109" customWidth="true"/>
    <col min="71" max="71" width="22.7109" customWidth="true"/>
    <col min="72" max="72" width="23.7109" customWidth="true"/>
    <col min="73" max="73" width="26.7109" customWidth="true"/>
    <col min="74" max="74" width="16.7109" customWidth="true"/>
    <col min="75" max="75" width="17.7109" customWidth="true"/>
    <col min="76" max="76" width="10.7109" customWidth="true"/>
    <col min="77" max="77" width="27.7109" customWidth="true"/>
    <col min="78" max="78" width="22.7109" customWidth="true"/>
    <col min="79" max="79" width="22.7109" customWidth="true"/>
    <col min="80" max="80" width="23.7109" customWidth="true"/>
    <col min="81" max="81" width="26.7109" customWidth="true"/>
    <col min="82" max="82" width="16.7109" customWidth="true"/>
    <col min="83" max="83" width="17.7109" customWidth="true"/>
    <col min="84" max="84" width="10.7109" customWidth="true"/>
  </cols>
  <sheetData>
    <row r="1" spans="1:84">
      <c r="A1" s="3" t="s">
        <v>1</v>
      </c>
      <c r="B1" s="4" t="s">
        <v>1</v>
      </c>
      <c r="C1" s="4" t="s">
        <v>1</v>
      </c>
      <c r="D1" s="4" t="s">
        <v>1</v>
      </c>
      <c r="E1" s="5" t="s">
        <v>2</v>
      </c>
      <c r="F1" s="6" t="s"/>
      <c r="G1" s="6" t="s"/>
      <c r="H1" s="6" t="s"/>
      <c r="I1" s="6" t="s"/>
      <c r="J1" s="6" t="s"/>
      <c r="K1" s="6" t="s"/>
      <c r="L1" s="7" t="s">
        <v>1</v>
      </c>
      <c r="M1" s="5" t="s">
        <v>3</v>
      </c>
      <c r="N1" s="6" t="s"/>
      <c r="O1" s="6" t="s"/>
      <c r="P1" s="6" t="s"/>
      <c r="Q1" s="6" t="s"/>
      <c r="R1" s="6" t="s"/>
      <c r="S1" s="6" t="s"/>
      <c r="T1" s="7" t="s">
        <v>1</v>
      </c>
      <c r="U1" s="5" t="s">
        <v>4</v>
      </c>
      <c r="V1" s="6" t="s"/>
      <c r="W1" s="6" t="s"/>
      <c r="X1" s="6" t="s"/>
      <c r="Y1" s="6" t="s"/>
      <c r="Z1" s="6" t="s"/>
      <c r="AA1" s="6" t="s"/>
      <c r="AB1" s="7" t="s">
        <v>1</v>
      </c>
      <c r="AC1" s="5" t="s">
        <v>5</v>
      </c>
      <c r="AD1" s="6" t="s"/>
      <c r="AE1" s="6" t="s"/>
      <c r="AF1" s="6" t="s"/>
      <c r="AG1" s="6" t="s"/>
      <c r="AH1" s="6" t="s"/>
      <c r="AI1" s="6" t="s"/>
      <c r="AJ1" s="7" t="s">
        <v>1</v>
      </c>
      <c r="AK1" s="5" t="s">
        <v>6</v>
      </c>
      <c r="AL1" s="6" t="s"/>
      <c r="AM1" s="6" t="s"/>
      <c r="AN1" s="6" t="s"/>
      <c r="AO1" s="6" t="s"/>
      <c r="AP1" s="6" t="s"/>
      <c r="AQ1" s="6" t="s"/>
      <c r="AR1" s="7" t="s">
        <v>1</v>
      </c>
      <c r="AS1" s="5" t="s">
        <v>7</v>
      </c>
      <c r="AT1" s="6" t="s"/>
      <c r="AU1" s="6" t="s"/>
      <c r="AV1" s="6" t="s"/>
      <c r="AW1" s="6" t="s"/>
      <c r="AX1" s="6" t="s"/>
      <c r="AY1" s="6" t="s"/>
      <c r="AZ1" s="7" t="s">
        <v>1</v>
      </c>
      <c r="BA1" s="5" t="s">
        <v>8</v>
      </c>
      <c r="BB1" s="6" t="s"/>
      <c r="BC1" s="6" t="s"/>
      <c r="BD1" s="6" t="s"/>
      <c r="BE1" s="6" t="s"/>
      <c r="BF1" s="6" t="s"/>
      <c r="BG1" s="6" t="s"/>
      <c r="BH1" s="7" t="s">
        <v>1</v>
      </c>
      <c r="BI1" s="5" t="s">
        <v>9</v>
      </c>
      <c r="BJ1" s="6" t="s"/>
      <c r="BK1" s="6" t="s"/>
      <c r="BL1" s="6" t="s"/>
      <c r="BM1" s="6" t="s"/>
      <c r="BN1" s="6" t="s"/>
      <c r="BO1" s="6" t="s"/>
      <c r="BP1" s="7" t="s">
        <v>1</v>
      </c>
      <c r="BQ1" s="5" t="s">
        <v>10</v>
      </c>
      <c r="BR1" s="6" t="s"/>
      <c r="BS1" s="6" t="s"/>
      <c r="BT1" s="6" t="s"/>
      <c r="BU1" s="6" t="s"/>
      <c r="BV1" s="6" t="s"/>
      <c r="BW1" s="6" t="s"/>
      <c r="BX1" s="7" t="s">
        <v>1</v>
      </c>
      <c r="BY1" s="5" t="s">
        <v>11</v>
      </c>
      <c r="BZ1" s="6" t="s"/>
      <c r="CA1" s="6" t="s"/>
      <c r="CB1" s="6" t="s"/>
      <c r="CC1" s="6" t="s"/>
      <c r="CD1" s="6" t="s"/>
      <c r="CE1" s="6" t="s"/>
      <c r="CF1" s="8" t="s">
        <v>1</v>
      </c>
    </row>
    <row r="2" spans="1:84" ht="15" customHeight="true">
      <c r="A2" s="9" t="s">
        <v>1</v>
      </c>
      <c r="B2" s="10" t="s">
        <v>1</v>
      </c>
      <c r="C2" s="10" t="s">
        <v>1</v>
      </c>
      <c r="D2" s="11" t="s">
        <v>1</v>
      </c>
      <c r="E2" s="12" t="s">
        <v>12</v>
      </c>
      <c r="F2" s="6" t="s"/>
      <c r="G2" s="6" t="s"/>
      <c r="H2" s="6" t="s"/>
      <c r="I2" s="13" t="s">
        <v>13</v>
      </c>
      <c r="J2" s="6" t="s"/>
      <c r="K2" s="6" t="s"/>
      <c r="L2" s="10" t="s">
        <v>1</v>
      </c>
      <c r="M2" s="12" t="s">
        <v>12</v>
      </c>
      <c r="N2" s="6" t="s"/>
      <c r="O2" s="6" t="s"/>
      <c r="P2" s="6" t="s"/>
      <c r="Q2" s="13" t="s">
        <v>13</v>
      </c>
      <c r="R2" s="6" t="s"/>
      <c r="S2" s="6" t="s"/>
      <c r="T2" s="10" t="s">
        <v>1</v>
      </c>
      <c r="U2" s="12" t="s">
        <v>12</v>
      </c>
      <c r="V2" s="6" t="s"/>
      <c r="W2" s="6" t="s"/>
      <c r="X2" s="6" t="s"/>
      <c r="Y2" s="13" t="s">
        <v>13</v>
      </c>
      <c r="Z2" s="6" t="s"/>
      <c r="AA2" s="6" t="s"/>
      <c r="AB2" s="10" t="s">
        <v>1</v>
      </c>
      <c r="AC2" s="12" t="s">
        <v>12</v>
      </c>
      <c r="AD2" s="6" t="s"/>
      <c r="AE2" s="6" t="s"/>
      <c r="AF2" s="6" t="s"/>
      <c r="AG2" s="13" t="s">
        <v>13</v>
      </c>
      <c r="AH2" s="6" t="s"/>
      <c r="AI2" s="6" t="s"/>
      <c r="AJ2" s="10" t="s">
        <v>1</v>
      </c>
      <c r="AK2" s="12" t="s">
        <v>12</v>
      </c>
      <c r="AL2" s="6" t="s"/>
      <c r="AM2" s="6" t="s"/>
      <c r="AN2" s="6" t="s"/>
      <c r="AO2" s="13" t="s">
        <v>13</v>
      </c>
      <c r="AP2" s="6" t="s"/>
      <c r="AQ2" s="6" t="s"/>
      <c r="AR2" s="10" t="s">
        <v>1</v>
      </c>
      <c r="AS2" s="12" t="s">
        <v>12</v>
      </c>
      <c r="AT2" s="6" t="s"/>
      <c r="AU2" s="6" t="s"/>
      <c r="AV2" s="6" t="s"/>
      <c r="AW2" s="13" t="s">
        <v>13</v>
      </c>
      <c r="AX2" s="6" t="s"/>
      <c r="AY2" s="6" t="s"/>
      <c r="AZ2" s="10" t="s">
        <v>1</v>
      </c>
      <c r="BA2" s="12" t="s">
        <v>12</v>
      </c>
      <c r="BB2" s="6" t="s"/>
      <c r="BC2" s="6" t="s"/>
      <c r="BD2" s="6" t="s"/>
      <c r="BE2" s="13" t="s">
        <v>13</v>
      </c>
      <c r="BF2" s="6" t="s"/>
      <c r="BG2" s="6" t="s"/>
      <c r="BH2" s="10" t="s">
        <v>1</v>
      </c>
      <c r="BI2" s="12" t="s">
        <v>12</v>
      </c>
      <c r="BJ2" s="6" t="s"/>
      <c r="BK2" s="6" t="s"/>
      <c r="BL2" s="6" t="s"/>
      <c r="BM2" s="13" t="s">
        <v>13</v>
      </c>
      <c r="BN2" s="6" t="s"/>
      <c r="BO2" s="6" t="s"/>
      <c r="BP2" s="10" t="s">
        <v>1</v>
      </c>
      <c r="BQ2" s="12" t="s">
        <v>12</v>
      </c>
      <c r="BR2" s="6" t="s"/>
      <c r="BS2" s="6" t="s"/>
      <c r="BT2" s="6" t="s"/>
      <c r="BU2" s="13" t="s">
        <v>13</v>
      </c>
      <c r="BV2" s="6" t="s"/>
      <c r="BW2" s="6" t="s"/>
      <c r="BX2" s="10" t="s">
        <v>1</v>
      </c>
      <c r="BY2" s="12" t="s">
        <v>12</v>
      </c>
      <c r="BZ2" s="6" t="s"/>
      <c r="CA2" s="6" t="s"/>
      <c r="CB2" s="6" t="s"/>
      <c r="CC2" s="13" t="s">
        <v>13</v>
      </c>
      <c r="CD2" s="6" t="s"/>
      <c r="CE2" s="6" t="s"/>
      <c r="CF2" s="10" t="s">
        <v>1</v>
      </c>
    </row>
    <row r="3" spans="1:84" ht="48.75" customHeight="true">
      <c r="A3" s="14" t="s">
        <v>155</v>
      </c>
      <c r="B3" s="14" t="s">
        <v>156</v>
      </c>
      <c r="C3" s="14" t="s">
        <v>157</v>
      </c>
      <c r="D3" s="15" t="s">
        <v>14</v>
      </c>
      <c r="E3" s="16" t="s">
        <v>15</v>
      </c>
      <c r="F3" s="16" t="s">
        <v>16</v>
      </c>
      <c r="G3" s="16" t="s">
        <v>17</v>
      </c>
      <c r="H3" s="16" t="s">
        <v>18</v>
      </c>
      <c r="I3" s="16" t="s">
        <v>19</v>
      </c>
      <c r="J3" s="16" t="s">
        <v>20</v>
      </c>
      <c r="K3" s="16" t="s">
        <v>21</v>
      </c>
      <c r="L3" s="17" t="s">
        <v>22</v>
      </c>
      <c r="M3" s="16" t="s">
        <v>23</v>
      </c>
      <c r="N3" s="16" t="s">
        <v>24</v>
      </c>
      <c r="O3" s="16" t="s">
        <v>25</v>
      </c>
      <c r="P3" s="16" t="s">
        <v>26</v>
      </c>
      <c r="Q3" s="16" t="s">
        <v>27</v>
      </c>
      <c r="R3" s="16" t="s">
        <v>28</v>
      </c>
      <c r="S3" s="16" t="s">
        <v>29</v>
      </c>
      <c r="T3" s="17" t="s">
        <v>30</v>
      </c>
      <c r="U3" s="16" t="s">
        <v>31</v>
      </c>
      <c r="V3" s="16" t="s">
        <v>32</v>
      </c>
      <c r="W3" s="16" t="s">
        <v>33</v>
      </c>
      <c r="X3" s="16" t="s">
        <v>34</v>
      </c>
      <c r="Y3" s="16" t="s">
        <v>35</v>
      </c>
      <c r="Z3" s="16" t="s">
        <v>36</v>
      </c>
      <c r="AA3" s="16" t="s">
        <v>37</v>
      </c>
      <c r="AB3" s="17" t="s">
        <v>38</v>
      </c>
      <c r="AC3" s="16" t="s">
        <v>39</v>
      </c>
      <c r="AD3" s="16" t="s">
        <v>40</v>
      </c>
      <c r="AE3" s="16" t="s">
        <v>41</v>
      </c>
      <c r="AF3" s="16" t="s">
        <v>42</v>
      </c>
      <c r="AG3" s="16" t="s">
        <v>43</v>
      </c>
      <c r="AH3" s="16" t="s">
        <v>44</v>
      </c>
      <c r="AI3" s="16" t="s">
        <v>45</v>
      </c>
      <c r="AJ3" s="17" t="s">
        <v>46</v>
      </c>
      <c r="AK3" s="16" t="s">
        <v>47</v>
      </c>
      <c r="AL3" s="16" t="s">
        <v>48</v>
      </c>
      <c r="AM3" s="16" t="s">
        <v>49</v>
      </c>
      <c r="AN3" s="16" t="s">
        <v>50</v>
      </c>
      <c r="AO3" s="16" t="s">
        <v>51</v>
      </c>
      <c r="AP3" s="16" t="s">
        <v>52</v>
      </c>
      <c r="AQ3" s="16" t="s">
        <v>53</v>
      </c>
      <c r="AR3" s="17" t="s">
        <v>54</v>
      </c>
      <c r="AS3" s="16" t="s">
        <v>55</v>
      </c>
      <c r="AT3" s="16" t="s">
        <v>56</v>
      </c>
      <c r="AU3" s="16" t="s">
        <v>57</v>
      </c>
      <c r="AV3" s="16" t="s">
        <v>58</v>
      </c>
      <c r="AW3" s="16" t="s">
        <v>59</v>
      </c>
      <c r="AX3" s="16" t="s">
        <v>60</v>
      </c>
      <c r="AY3" s="16" t="s">
        <v>61</v>
      </c>
      <c r="AZ3" s="17" t="s">
        <v>62</v>
      </c>
      <c r="BA3" s="16" t="s">
        <v>63</v>
      </c>
      <c r="BB3" s="16" t="s">
        <v>64</v>
      </c>
      <c r="BC3" s="16" t="s">
        <v>65</v>
      </c>
      <c r="BD3" s="16" t="s">
        <v>66</v>
      </c>
      <c r="BE3" s="16" t="s">
        <v>67</v>
      </c>
      <c r="BF3" s="16" t="s">
        <v>68</v>
      </c>
      <c r="BG3" s="16" t="s">
        <v>69</v>
      </c>
      <c r="BH3" s="17" t="s">
        <v>70</v>
      </c>
      <c r="BI3" s="16" t="s">
        <v>71</v>
      </c>
      <c r="BJ3" s="16" t="s">
        <v>72</v>
      </c>
      <c r="BK3" s="16" t="s">
        <v>73</v>
      </c>
      <c r="BL3" s="16" t="s">
        <v>74</v>
      </c>
      <c r="BM3" s="16" t="s">
        <v>75</v>
      </c>
      <c r="BN3" s="16" t="s">
        <v>76</v>
      </c>
      <c r="BO3" s="16" t="s">
        <v>77</v>
      </c>
      <c r="BP3" s="17" t="s">
        <v>78</v>
      </c>
      <c r="BQ3" s="16" t="s">
        <v>79</v>
      </c>
      <c r="BR3" s="16" t="s">
        <v>80</v>
      </c>
      <c r="BS3" s="16" t="s">
        <v>81</v>
      </c>
      <c r="BT3" s="16" t="s">
        <v>82</v>
      </c>
      <c r="BU3" s="16" t="s">
        <v>83</v>
      </c>
      <c r="BV3" s="16" t="s">
        <v>84</v>
      </c>
      <c r="BW3" s="16" t="s">
        <v>85</v>
      </c>
      <c r="BX3" s="17" t="s">
        <v>86</v>
      </c>
      <c r="BY3" s="16" t="s">
        <v>87</v>
      </c>
      <c r="BZ3" s="16" t="s">
        <v>88</v>
      </c>
      <c r="CA3" s="16" t="s">
        <v>89</v>
      </c>
      <c r="CB3" s="16" t="s">
        <v>90</v>
      </c>
      <c r="CC3" s="16" t="s">
        <v>91</v>
      </c>
      <c r="CD3" s="16" t="s">
        <v>92</v>
      </c>
      <c r="CE3" s="16" t="s">
        <v>93</v>
      </c>
      <c r="CF3" s="18" t="s">
        <v>94</v>
      </c>
    </row>
    <row r="4" spans="1:84">
      <c r="A4" s="19">
        <v>1</v>
      </c>
      <c r="B4" s="20" t="s">
        <v>158</v>
      </c>
      <c r="C4" s="20" t="s">
        <v>95</v>
      </c>
      <c r="D4" s="20" t="s">
        <v>96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2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2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2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2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2">
        <v>0</v>
      </c>
      <c r="AS4" s="21">
        <v>0</v>
      </c>
      <c r="AT4" s="21">
        <v>0</v>
      </c>
      <c r="AU4" s="21">
        <v>0</v>
      </c>
      <c r="AV4" s="21">
        <v>0</v>
      </c>
      <c r="AW4" s="21">
        <v>0</v>
      </c>
      <c r="AX4" s="21">
        <v>0</v>
      </c>
      <c r="AY4" s="21">
        <v>0</v>
      </c>
      <c r="AZ4" s="22">
        <v>0</v>
      </c>
      <c r="BA4" s="21">
        <v>0</v>
      </c>
      <c r="BB4" s="21">
        <v>0</v>
      </c>
      <c r="BC4" s="21">
        <v>0</v>
      </c>
      <c r="BD4" s="21">
        <v>0</v>
      </c>
      <c r="BE4" s="21">
        <v>0</v>
      </c>
      <c r="BF4" s="21">
        <v>0</v>
      </c>
      <c r="BG4" s="21">
        <v>0</v>
      </c>
      <c r="BH4" s="22">
        <v>0</v>
      </c>
      <c r="BI4" s="21">
        <v>0</v>
      </c>
      <c r="BJ4" s="21">
        <v>0</v>
      </c>
      <c r="BK4" s="21">
        <v>0</v>
      </c>
      <c r="BL4" s="21">
        <v>0</v>
      </c>
      <c r="BM4" s="21">
        <v>0</v>
      </c>
      <c r="BN4" s="21">
        <v>0</v>
      </c>
      <c r="BO4" s="21">
        <v>0</v>
      </c>
      <c r="BP4" s="22">
        <v>0</v>
      </c>
      <c r="BQ4" s="21">
        <v>0</v>
      </c>
      <c r="BR4" s="21">
        <v>0</v>
      </c>
      <c r="BS4" s="21">
        <v>0</v>
      </c>
      <c r="BT4" s="21">
        <v>0</v>
      </c>
      <c r="BU4" s="21">
        <v>0</v>
      </c>
      <c r="BV4" s="21">
        <v>0</v>
      </c>
      <c r="BW4" s="21">
        <v>0</v>
      </c>
      <c r="BX4" s="22">
        <v>0</v>
      </c>
      <c r="BY4" s="21">
        <v>0</v>
      </c>
      <c r="BZ4" s="21">
        <v>0</v>
      </c>
      <c r="CA4" s="21">
        <v>0</v>
      </c>
      <c r="CB4" s="21">
        <v>0</v>
      </c>
      <c r="CC4" s="21">
        <v>0</v>
      </c>
      <c r="CD4" s="21">
        <v>0</v>
      </c>
      <c r="CE4" s="21">
        <v>0</v>
      </c>
      <c r="CF4" s="22">
        <v>0</v>
      </c>
    </row>
    <row r="5" spans="1:84">
      <c r="A5" s="19">
        <v>2</v>
      </c>
      <c r="B5" s="20" t="s">
        <v>159</v>
      </c>
      <c r="C5" s="20" t="s">
        <v>95</v>
      </c>
      <c r="D5" s="20" t="s">
        <v>96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2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2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2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2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2">
        <v>0</v>
      </c>
      <c r="AS5" s="21">
        <v>0</v>
      </c>
      <c r="AT5" s="21">
        <v>0</v>
      </c>
      <c r="AU5" s="21">
        <v>0</v>
      </c>
      <c r="AV5" s="21">
        <v>0</v>
      </c>
      <c r="AW5" s="21">
        <v>0</v>
      </c>
      <c r="AX5" s="21">
        <v>0</v>
      </c>
      <c r="AY5" s="21">
        <v>0</v>
      </c>
      <c r="AZ5" s="22">
        <v>0</v>
      </c>
      <c r="BA5" s="21">
        <v>0</v>
      </c>
      <c r="BB5" s="21">
        <v>0</v>
      </c>
      <c r="BC5" s="21">
        <v>0</v>
      </c>
      <c r="BD5" s="21">
        <v>0</v>
      </c>
      <c r="BE5" s="21">
        <v>0</v>
      </c>
      <c r="BF5" s="21">
        <v>0</v>
      </c>
      <c r="BG5" s="21">
        <v>0</v>
      </c>
      <c r="BH5" s="22">
        <v>0</v>
      </c>
      <c r="BI5" s="21">
        <v>0</v>
      </c>
      <c r="BJ5" s="21">
        <v>0</v>
      </c>
      <c r="BK5" s="21">
        <v>0</v>
      </c>
      <c r="BL5" s="21">
        <v>0</v>
      </c>
      <c r="BM5" s="21">
        <v>0</v>
      </c>
      <c r="BN5" s="21">
        <v>0</v>
      </c>
      <c r="BO5" s="21">
        <v>0</v>
      </c>
      <c r="BP5" s="22">
        <v>0</v>
      </c>
      <c r="BQ5" s="21">
        <v>0</v>
      </c>
      <c r="BR5" s="21">
        <v>0</v>
      </c>
      <c r="BS5" s="21">
        <v>0</v>
      </c>
      <c r="BT5" s="21">
        <v>0</v>
      </c>
      <c r="BU5" s="21">
        <v>0</v>
      </c>
      <c r="BV5" s="21">
        <v>0</v>
      </c>
      <c r="BW5" s="21">
        <v>0</v>
      </c>
      <c r="BX5" s="22">
        <v>0</v>
      </c>
      <c r="BY5" s="21">
        <v>0</v>
      </c>
      <c r="BZ5" s="21">
        <v>0</v>
      </c>
      <c r="CA5" s="21">
        <v>0</v>
      </c>
      <c r="CB5" s="21">
        <v>0</v>
      </c>
      <c r="CC5" s="21">
        <v>0</v>
      </c>
      <c r="CD5" s="21">
        <v>0</v>
      </c>
      <c r="CE5" s="21">
        <v>0</v>
      </c>
      <c r="CF5" s="22">
        <v>0</v>
      </c>
    </row>
    <row r="6" spans="1:84">
      <c r="A6" s="19">
        <v>3</v>
      </c>
      <c r="B6" s="20" t="s">
        <v>160</v>
      </c>
      <c r="C6" s="20" t="s">
        <v>97</v>
      </c>
      <c r="D6" s="20" t="s">
        <v>96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2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2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2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2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2">
        <v>0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2">
        <v>0</v>
      </c>
      <c r="BA6" s="21">
        <v>0</v>
      </c>
      <c r="BB6" s="21">
        <v>0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H6" s="22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  <c r="BP6" s="22">
        <v>0</v>
      </c>
      <c r="BQ6" s="21">
        <v>0</v>
      </c>
      <c r="BR6" s="21">
        <v>0</v>
      </c>
      <c r="BS6" s="21">
        <v>0</v>
      </c>
      <c r="BT6" s="21">
        <v>0</v>
      </c>
      <c r="BU6" s="21">
        <v>0</v>
      </c>
      <c r="BV6" s="21">
        <v>0</v>
      </c>
      <c r="BW6" s="21">
        <v>0</v>
      </c>
      <c r="BX6" s="22">
        <v>0</v>
      </c>
      <c r="BY6" s="21">
        <v>0</v>
      </c>
      <c r="BZ6" s="21">
        <v>0</v>
      </c>
      <c r="CA6" s="21">
        <v>0</v>
      </c>
      <c r="CB6" s="21">
        <v>0</v>
      </c>
      <c r="CC6" s="21">
        <v>0</v>
      </c>
      <c r="CD6" s="21">
        <v>0</v>
      </c>
      <c r="CE6" s="21">
        <v>0</v>
      </c>
      <c r="CF6" s="22">
        <v>0</v>
      </c>
    </row>
    <row r="7" spans="1:84">
      <c r="A7" s="19">
        <v>4</v>
      </c>
      <c r="B7" s="20" t="s">
        <v>161</v>
      </c>
      <c r="C7" s="20" t="s">
        <v>97</v>
      </c>
      <c r="D7" s="20" t="s">
        <v>96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2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2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2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2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2">
        <v>0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>
        <v>0</v>
      </c>
      <c r="AY7" s="21">
        <v>0</v>
      </c>
      <c r="AZ7" s="22">
        <v>0</v>
      </c>
      <c r="BA7" s="21">
        <v>0</v>
      </c>
      <c r="BB7" s="21">
        <v>0</v>
      </c>
      <c r="BC7" s="21">
        <v>0</v>
      </c>
      <c r="BD7" s="21">
        <v>0</v>
      </c>
      <c r="BE7" s="21">
        <v>0</v>
      </c>
      <c r="BF7" s="21">
        <v>0</v>
      </c>
      <c r="BG7" s="21">
        <v>0</v>
      </c>
      <c r="BH7" s="22">
        <v>0</v>
      </c>
      <c r="BI7" s="21">
        <v>0</v>
      </c>
      <c r="BJ7" s="21">
        <v>0</v>
      </c>
      <c r="BK7" s="21">
        <v>0</v>
      </c>
      <c r="BL7" s="21">
        <v>0</v>
      </c>
      <c r="BM7" s="21">
        <v>0</v>
      </c>
      <c r="BN7" s="21">
        <v>0</v>
      </c>
      <c r="BO7" s="21">
        <v>0</v>
      </c>
      <c r="BP7" s="22">
        <v>0</v>
      </c>
      <c r="BQ7" s="21">
        <v>0</v>
      </c>
      <c r="BR7" s="21">
        <v>0</v>
      </c>
      <c r="BS7" s="21">
        <v>0</v>
      </c>
      <c r="BT7" s="21">
        <v>0</v>
      </c>
      <c r="BU7" s="21">
        <v>0</v>
      </c>
      <c r="BV7" s="21">
        <v>0</v>
      </c>
      <c r="BW7" s="21">
        <v>0</v>
      </c>
      <c r="BX7" s="22">
        <v>0</v>
      </c>
      <c r="BY7" s="21">
        <v>0</v>
      </c>
      <c r="BZ7" s="21">
        <v>0</v>
      </c>
      <c r="CA7" s="21">
        <v>0</v>
      </c>
      <c r="CB7" s="21">
        <v>0</v>
      </c>
      <c r="CC7" s="21">
        <v>0</v>
      </c>
      <c r="CD7" s="21">
        <v>0</v>
      </c>
      <c r="CE7" s="21">
        <v>0</v>
      </c>
      <c r="CF7" s="22">
        <v>0</v>
      </c>
    </row>
    <row r="8" spans="1:84">
      <c r="A8" s="23">
        <v>5</v>
      </c>
      <c r="B8" s="24" t="s">
        <v>162</v>
      </c>
      <c r="C8" s="24" t="s">
        <v>97</v>
      </c>
      <c r="D8" s="24" t="s">
        <v>98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2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2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2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2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2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2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2">
        <v>0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  <c r="BO8" s="21">
        <v>0</v>
      </c>
      <c r="BP8" s="22">
        <v>0</v>
      </c>
      <c r="BQ8" s="21">
        <v>0</v>
      </c>
      <c r="BR8" s="21">
        <v>0</v>
      </c>
      <c r="BS8" s="21">
        <v>0</v>
      </c>
      <c r="BT8" s="21">
        <v>0</v>
      </c>
      <c r="BU8" s="21">
        <v>0</v>
      </c>
      <c r="BV8" s="21">
        <v>0</v>
      </c>
      <c r="BW8" s="21">
        <v>0</v>
      </c>
      <c r="BX8" s="22">
        <v>0</v>
      </c>
      <c r="BY8" s="21">
        <v>0</v>
      </c>
      <c r="BZ8" s="21">
        <v>0</v>
      </c>
      <c r="CA8" s="21">
        <v>0</v>
      </c>
      <c r="CB8" s="21">
        <v>0</v>
      </c>
      <c r="CC8" s="21">
        <v>0</v>
      </c>
      <c r="CD8" s="21">
        <v>0</v>
      </c>
      <c r="CE8" s="21">
        <v>0</v>
      </c>
      <c r="CF8" s="22">
        <v>0</v>
      </c>
    </row>
    <row r="9" spans="1:84">
      <c r="A9" s="23">
        <v>6</v>
      </c>
      <c r="B9" s="24" t="s">
        <v>163</v>
      </c>
      <c r="C9" s="24" t="s">
        <v>97</v>
      </c>
      <c r="D9" s="24" t="s">
        <v>98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2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2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2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2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2">
        <v>0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1">
        <v>0</v>
      </c>
      <c r="AZ9" s="22">
        <v>0</v>
      </c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F9" s="21">
        <v>0</v>
      </c>
      <c r="BG9" s="21">
        <v>0</v>
      </c>
      <c r="BH9" s="22">
        <v>0</v>
      </c>
      <c r="BI9" s="21">
        <v>0</v>
      </c>
      <c r="BJ9" s="21">
        <v>0</v>
      </c>
      <c r="BK9" s="21">
        <v>0</v>
      </c>
      <c r="BL9" s="21">
        <v>0</v>
      </c>
      <c r="BM9" s="21">
        <v>0</v>
      </c>
      <c r="BN9" s="21">
        <v>0</v>
      </c>
      <c r="BO9" s="21">
        <v>0</v>
      </c>
      <c r="BP9" s="22">
        <v>0</v>
      </c>
      <c r="BQ9" s="21">
        <v>0</v>
      </c>
      <c r="BR9" s="21">
        <v>0</v>
      </c>
      <c r="BS9" s="21">
        <v>0</v>
      </c>
      <c r="BT9" s="21">
        <v>0</v>
      </c>
      <c r="BU9" s="21">
        <v>0</v>
      </c>
      <c r="BV9" s="21">
        <v>0</v>
      </c>
      <c r="BW9" s="21">
        <v>0</v>
      </c>
      <c r="BX9" s="22">
        <v>0</v>
      </c>
      <c r="BY9" s="21">
        <v>0</v>
      </c>
      <c r="BZ9" s="21">
        <v>0</v>
      </c>
      <c r="CA9" s="21">
        <v>0</v>
      </c>
      <c r="CB9" s="21">
        <v>0</v>
      </c>
      <c r="CC9" s="21">
        <v>0</v>
      </c>
      <c r="CD9" s="21">
        <v>0</v>
      </c>
      <c r="CE9" s="21">
        <v>0</v>
      </c>
      <c r="CF9" s="22">
        <v>0</v>
      </c>
    </row>
    <row r="10" spans="1:84">
      <c r="A10" s="23">
        <v>7</v>
      </c>
      <c r="B10" s="24" t="s">
        <v>164</v>
      </c>
      <c r="C10" s="24" t="s">
        <v>99</v>
      </c>
      <c r="D10" s="24" t="s">
        <v>98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2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2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2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2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2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2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2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  <c r="BO10" s="21">
        <v>0</v>
      </c>
      <c r="BP10" s="22">
        <v>0</v>
      </c>
      <c r="BQ10" s="21">
        <v>0</v>
      </c>
      <c r="BR10" s="21">
        <v>0</v>
      </c>
      <c r="BS10" s="21">
        <v>0</v>
      </c>
      <c r="BT10" s="21">
        <v>0</v>
      </c>
      <c r="BU10" s="21">
        <v>0</v>
      </c>
      <c r="BV10" s="21">
        <v>0</v>
      </c>
      <c r="BW10" s="21">
        <v>0</v>
      </c>
      <c r="BX10" s="22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2">
        <v>0</v>
      </c>
    </row>
    <row r="11" spans="1:84">
      <c r="A11" s="25">
        <v>8</v>
      </c>
      <c r="B11" s="26" t="s">
        <v>165</v>
      </c>
      <c r="C11" s="26" t="s">
        <v>99</v>
      </c>
      <c r="D11" s="26" t="s">
        <v>100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2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2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2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2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2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2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2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2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2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2">
        <v>0</v>
      </c>
    </row>
    <row r="12" spans="1:84">
      <c r="A12" s="25">
        <v>9</v>
      </c>
      <c r="B12" s="26" t="s">
        <v>166</v>
      </c>
      <c r="C12" s="26" t="s">
        <v>99</v>
      </c>
      <c r="D12" s="26" t="s">
        <v>100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2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2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2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2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2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2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2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2">
        <v>0</v>
      </c>
      <c r="BQ12" s="21">
        <v>0</v>
      </c>
      <c r="BR12" s="21">
        <v>0</v>
      </c>
      <c r="BS12" s="21">
        <v>0</v>
      </c>
      <c r="BT12" s="21">
        <v>0</v>
      </c>
      <c r="BU12" s="21">
        <v>0</v>
      </c>
      <c r="BV12" s="21">
        <v>0</v>
      </c>
      <c r="BW12" s="21">
        <v>0</v>
      </c>
      <c r="BX12" s="22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2">
        <v>0</v>
      </c>
    </row>
    <row r="13" spans="1:84">
      <c r="A13" s="25">
        <v>10</v>
      </c>
      <c r="B13" s="26" t="s">
        <v>167</v>
      </c>
      <c r="C13" s="26" t="s">
        <v>101</v>
      </c>
      <c r="D13" s="26" t="s">
        <v>100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2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2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2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2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2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2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2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v>0</v>
      </c>
      <c r="BO13" s="21">
        <v>0</v>
      </c>
      <c r="BP13" s="22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2">
        <v>0</v>
      </c>
      <c r="BY13" s="21">
        <v>0</v>
      </c>
      <c r="BZ13" s="21"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2">
        <v>0</v>
      </c>
    </row>
    <row r="14" spans="1:84">
      <c r="A14" s="27">
        <v>11</v>
      </c>
      <c r="B14" s="28" t="s">
        <v>168</v>
      </c>
      <c r="C14" s="28" t="s">
        <v>101</v>
      </c>
      <c r="D14" s="28" t="s">
        <v>102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2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2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2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2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2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2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2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  <c r="BO14" s="21">
        <v>0</v>
      </c>
      <c r="BP14" s="22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2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2">
        <v>0</v>
      </c>
    </row>
    <row r="15" spans="1:84">
      <c r="A15" s="27">
        <v>12</v>
      </c>
      <c r="B15" s="28" t="s">
        <v>169</v>
      </c>
      <c r="C15" s="28" t="s">
        <v>101</v>
      </c>
      <c r="D15" s="28" t="s">
        <v>102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2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2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2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2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2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2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2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2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2">
        <v>0</v>
      </c>
      <c r="BY15" s="21">
        <v>0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2">
        <v>0</v>
      </c>
    </row>
    <row r="16" spans="1:84">
      <c r="A16" s="27">
        <v>13</v>
      </c>
      <c r="B16" s="28" t="s">
        <v>170</v>
      </c>
      <c r="C16" s="28" t="s">
        <v>103</v>
      </c>
      <c r="D16" s="28" t="s">
        <v>102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2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2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2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2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2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2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2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2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2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2">
        <v>0</v>
      </c>
    </row>
    <row r="17" spans="1:84">
      <c r="A17" s="19">
        <v>14</v>
      </c>
      <c r="B17" s="20" t="s">
        <v>171</v>
      </c>
      <c r="C17" s="20" t="s">
        <v>104</v>
      </c>
      <c r="D17" s="20" t="s">
        <v>96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2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2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2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2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2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2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2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2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2">
        <v>0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2">
        <v>0</v>
      </c>
    </row>
    <row r="18" spans="1:84">
      <c r="A18" s="23">
        <v>15</v>
      </c>
      <c r="B18" s="24" t="s">
        <v>172</v>
      </c>
      <c r="C18" s="24" t="s">
        <v>104</v>
      </c>
      <c r="D18" s="24" t="s">
        <v>98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2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2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2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2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2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2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2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  <c r="BO18" s="21">
        <v>0</v>
      </c>
      <c r="BP18" s="22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2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2">
        <v>0</v>
      </c>
    </row>
    <row r="19" spans="1:84">
      <c r="A19" s="23">
        <v>16</v>
      </c>
      <c r="B19" s="24" t="s">
        <v>173</v>
      </c>
      <c r="C19" s="24" t="s">
        <v>104</v>
      </c>
      <c r="D19" s="24" t="s">
        <v>98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2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2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2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2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2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2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2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2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2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2">
        <v>0</v>
      </c>
    </row>
    <row r="20" spans="1:84">
      <c r="A20" s="25">
        <v>17</v>
      </c>
      <c r="B20" s="26" t="s">
        <v>174</v>
      </c>
      <c r="C20" s="26" t="s">
        <v>104</v>
      </c>
      <c r="D20" s="26" t="s">
        <v>100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2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2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2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2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2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2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2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  <c r="BO20" s="21">
        <v>0</v>
      </c>
      <c r="BP20" s="22">
        <v>0</v>
      </c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21">
        <v>0</v>
      </c>
      <c r="BW20" s="21">
        <v>0</v>
      </c>
      <c r="BX20" s="22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2">
        <v>0</v>
      </c>
    </row>
    <row r="21" spans="1:84">
      <c r="A21" s="25">
        <v>18</v>
      </c>
      <c r="B21" s="26" t="s">
        <v>175</v>
      </c>
      <c r="C21" s="26" t="s">
        <v>104</v>
      </c>
      <c r="D21" s="26" t="s">
        <v>100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2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2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2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2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2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2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2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2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2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2">
        <v>0</v>
      </c>
    </row>
    <row r="22" spans="1:84">
      <c r="A22" s="27">
        <v>19</v>
      </c>
      <c r="B22" s="28" t="s">
        <v>176</v>
      </c>
      <c r="C22" s="28" t="s">
        <v>104</v>
      </c>
      <c r="D22" s="28" t="s">
        <v>102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2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2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2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2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2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2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2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P22" s="22">
        <v>0</v>
      </c>
      <c r="BQ22" s="21">
        <v>0</v>
      </c>
      <c r="BR22" s="21">
        <v>0</v>
      </c>
      <c r="BS22" s="21">
        <v>0</v>
      </c>
      <c r="BT22" s="21">
        <v>0</v>
      </c>
      <c r="BU22" s="21">
        <v>0</v>
      </c>
      <c r="BV22" s="21">
        <v>0</v>
      </c>
      <c r="BW22" s="21">
        <v>0</v>
      </c>
      <c r="BX22" s="22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2">
        <v>0</v>
      </c>
    </row>
    <row r="23" spans="1:84">
      <c r="A23" s="27">
        <v>20</v>
      </c>
      <c r="B23" s="28" t="s">
        <v>177</v>
      </c>
      <c r="C23" s="28" t="s">
        <v>105</v>
      </c>
      <c r="D23" s="28" t="s">
        <v>102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2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2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2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2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2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2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2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2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2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2">
        <v>0</v>
      </c>
    </row>
    <row r="24" spans="1:84">
      <c r="A24" s="19">
        <v>21</v>
      </c>
      <c r="B24" s="20" t="s">
        <v>178</v>
      </c>
      <c r="C24" s="20" t="s">
        <v>106</v>
      </c>
      <c r="D24" s="20" t="s">
        <v>96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2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2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2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2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2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0</v>
      </c>
      <c r="AY24" s="21">
        <v>0</v>
      </c>
      <c r="AZ24" s="22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H24" s="22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v>0</v>
      </c>
      <c r="BO24" s="21">
        <v>0</v>
      </c>
      <c r="BP24" s="22">
        <v>0</v>
      </c>
      <c r="BQ24" s="21">
        <v>0</v>
      </c>
      <c r="BR24" s="21">
        <v>0</v>
      </c>
      <c r="BS24" s="21">
        <v>0</v>
      </c>
      <c r="BT24" s="21">
        <v>0</v>
      </c>
      <c r="BU24" s="21">
        <v>0</v>
      </c>
      <c r="BV24" s="21">
        <v>0</v>
      </c>
      <c r="BW24" s="21">
        <v>0</v>
      </c>
      <c r="BX24" s="22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2">
        <v>0</v>
      </c>
    </row>
    <row r="25" spans="1:84">
      <c r="A25" s="23">
        <v>22</v>
      </c>
      <c r="B25" s="24" t="s">
        <v>179</v>
      </c>
      <c r="C25" s="24" t="s">
        <v>106</v>
      </c>
      <c r="D25" s="24" t="s">
        <v>98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2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2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2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2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2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0</v>
      </c>
      <c r="AY25" s="21">
        <v>0</v>
      </c>
      <c r="AZ25" s="22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2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2">
        <v>0</v>
      </c>
      <c r="BQ25" s="21">
        <v>0</v>
      </c>
      <c r="BR25" s="21">
        <v>0</v>
      </c>
      <c r="BS25" s="21">
        <v>0</v>
      </c>
      <c r="BT25" s="21">
        <v>0</v>
      </c>
      <c r="BU25" s="21">
        <v>0</v>
      </c>
      <c r="BV25" s="21">
        <v>0</v>
      </c>
      <c r="BW25" s="21">
        <v>0</v>
      </c>
      <c r="BX25" s="22">
        <v>0</v>
      </c>
      <c r="BY25" s="21">
        <v>0</v>
      </c>
      <c r="BZ25" s="21"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  <c r="CF25" s="22">
        <v>0</v>
      </c>
    </row>
    <row r="26" spans="1:84">
      <c r="A26" s="29">
        <v>23</v>
      </c>
      <c r="B26" s="26" t="s">
        <v>180</v>
      </c>
      <c r="C26" s="26" t="s">
        <v>106</v>
      </c>
      <c r="D26" s="26" t="s">
        <v>100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2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2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2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2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2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2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2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  <c r="BO26" s="21">
        <v>0</v>
      </c>
      <c r="BP26" s="22">
        <v>0</v>
      </c>
      <c r="BQ26" s="21">
        <v>0</v>
      </c>
      <c r="BR26" s="21">
        <v>0</v>
      </c>
      <c r="BS26" s="21">
        <v>0</v>
      </c>
      <c r="BT26" s="21">
        <v>0</v>
      </c>
      <c r="BU26" s="21">
        <v>0</v>
      </c>
      <c r="BV26" s="21">
        <v>0</v>
      </c>
      <c r="BW26" s="21">
        <v>0</v>
      </c>
      <c r="BX26" s="22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2">
        <v>0</v>
      </c>
    </row>
    <row r="27" spans="1:84">
      <c r="A27" s="27">
        <v>24</v>
      </c>
      <c r="B27" s="28" t="s">
        <v>181</v>
      </c>
      <c r="C27" s="28" t="s">
        <v>106</v>
      </c>
      <c r="D27" s="28" t="s">
        <v>102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2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2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2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2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2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2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2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2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2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2">
        <v>0</v>
      </c>
    </row>
    <row r="28" spans="1:84">
      <c r="A28" s="27">
        <v>25</v>
      </c>
      <c r="B28" s="28" t="s">
        <v>182</v>
      </c>
      <c r="C28" s="28" t="s">
        <v>106</v>
      </c>
      <c r="D28" s="28" t="s">
        <v>102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2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2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2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2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2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2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2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  <c r="BO28" s="21">
        <v>0</v>
      </c>
      <c r="BP28" s="22">
        <v>0</v>
      </c>
      <c r="BQ28" s="21">
        <v>0</v>
      </c>
      <c r="BR28" s="21">
        <v>0</v>
      </c>
      <c r="BS28" s="21">
        <v>0</v>
      </c>
      <c r="BT28" s="21">
        <v>0</v>
      </c>
      <c r="BU28" s="21">
        <v>0</v>
      </c>
      <c r="BV28" s="21">
        <v>0</v>
      </c>
      <c r="BW28" s="21">
        <v>0</v>
      </c>
      <c r="BX28" s="22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2">
        <v>0</v>
      </c>
    </row>
    <row r="29" spans="1:84">
      <c r="A29" s="29">
        <v>26</v>
      </c>
      <c r="B29" s="30" t="s">
        <v>183</v>
      </c>
      <c r="C29" s="26" t="s">
        <v>106</v>
      </c>
      <c r="D29" s="26" t="s">
        <v>100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2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2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2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2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2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2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2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2">
        <v>0</v>
      </c>
      <c r="BQ29" s="21">
        <v>0</v>
      </c>
      <c r="BR29" s="21">
        <v>0</v>
      </c>
      <c r="BS29" s="21">
        <v>0</v>
      </c>
      <c r="BT29" s="21">
        <v>0</v>
      </c>
      <c r="BU29" s="21">
        <v>0</v>
      </c>
      <c r="BV29" s="21">
        <v>0</v>
      </c>
      <c r="BW29" s="21">
        <v>0</v>
      </c>
      <c r="BX29" s="22">
        <v>0</v>
      </c>
      <c r="BY29" s="21">
        <v>0</v>
      </c>
      <c r="BZ29" s="21">
        <v>0</v>
      </c>
      <c r="CA29" s="21">
        <v>0</v>
      </c>
      <c r="CB29" s="21">
        <v>0</v>
      </c>
      <c r="CC29" s="21">
        <v>0</v>
      </c>
      <c r="CD29" s="21">
        <v>0</v>
      </c>
      <c r="CE29" s="21">
        <v>0</v>
      </c>
      <c r="CF29" s="22">
        <v>0</v>
      </c>
    </row>
    <row r="30" spans="1:84">
      <c r="A30" s="31">
        <v>27</v>
      </c>
      <c r="B30" s="32" t="s">
        <v>184</v>
      </c>
      <c r="C30" s="32" t="s">
        <v>106</v>
      </c>
      <c r="D30" s="32" t="s">
        <v>96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2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2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2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2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2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2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2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2">
        <v>0</v>
      </c>
      <c r="BQ30" s="21">
        <v>0</v>
      </c>
      <c r="BR30" s="21">
        <v>0</v>
      </c>
      <c r="BS30" s="21">
        <v>0</v>
      </c>
      <c r="BT30" s="21">
        <v>0</v>
      </c>
      <c r="BU30" s="21">
        <v>0</v>
      </c>
      <c r="BV30" s="21">
        <v>0</v>
      </c>
      <c r="BW30" s="21">
        <v>0</v>
      </c>
      <c r="BX30" s="22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2">
        <v>0</v>
      </c>
    </row>
  </sheetData>
  <mergeCells count="30">
    <mergeCell ref="AK1:AQ1"/>
    <mergeCell ref="AK2:AN2"/>
    <mergeCell ref="AO2:AQ2"/>
    <mergeCell ref="AS1:AY1"/>
    <mergeCell ref="AS2:AV2"/>
    <mergeCell ref="AW2:AY2"/>
    <mergeCell ref="U2:X2"/>
    <mergeCell ref="Y2:AA2"/>
    <mergeCell ref="AC2:AF2"/>
    <mergeCell ref="AG2:AI2"/>
    <mergeCell ref="E2:H2"/>
    <mergeCell ref="I2:K2"/>
    <mergeCell ref="M2:P2"/>
    <mergeCell ref="Q2:S2"/>
    <mergeCell ref="BQ1:BW1"/>
    <mergeCell ref="BQ2:BT2"/>
    <mergeCell ref="BU2:BW2"/>
    <mergeCell ref="BY1:CE1"/>
    <mergeCell ref="BY2:CB2"/>
    <mergeCell ref="CC2:CE2"/>
    <mergeCell ref="BA1:BG1"/>
    <mergeCell ref="BA2:BD2"/>
    <mergeCell ref="BE2:BG2"/>
    <mergeCell ref="BI1:BO1"/>
    <mergeCell ref="BI2:BL2"/>
    <mergeCell ref="BM2:BO2"/>
    <mergeCell ref="E1:K1"/>
    <mergeCell ref="M1:S1"/>
    <mergeCell ref="U1:AA1"/>
    <mergeCell ref="AC1:AI1"/>
  </mergeCells>
  <dataValidations>
    <dataValidation type="whole" errorStyle="stop" allowBlank="true" showDropDown="false" showInputMessage="true" showErrorMessage="true" prompt="" sqref="E4:E30">
      <formula1/>
      <formula2/>
    </dataValidation>
    <dataValidation type="whole" errorStyle="stop" allowBlank="true" showDropDown="false" showInputMessage="true" showErrorMessage="true" prompt="" sqref="F4:F30">
      <formula1/>
      <formula2/>
    </dataValidation>
    <dataValidation type="whole" errorStyle="stop" allowBlank="true" showDropDown="false" showInputMessage="true" showErrorMessage="true" prompt="" sqref="G4:G30">
      <formula1/>
      <formula2/>
    </dataValidation>
    <dataValidation type="whole" errorStyle="stop" allowBlank="true" showDropDown="false" showInputMessage="true" showErrorMessage="true" prompt="" sqref="H4:H30">
      <formula1/>
      <formula2/>
    </dataValidation>
    <dataValidation type="whole" errorStyle="stop" allowBlank="true" showDropDown="false" showInputMessage="true" showErrorMessage="true" prompt="" sqref="I4:I30">
      <formula1/>
      <formula2/>
    </dataValidation>
    <dataValidation type="whole" errorStyle="stop" allowBlank="true" showDropDown="false" showInputMessage="true" showErrorMessage="true" prompt="" sqref="J4:J30">
      <formula1/>
      <formula2/>
    </dataValidation>
    <dataValidation type="whole" errorStyle="stop" allowBlank="true" showDropDown="false" showInputMessage="true" showErrorMessage="true" prompt="" sqref="K4:K30">
      <formula1/>
      <formula2/>
    </dataValidation>
    <dataValidation type="whole" errorStyle="stop" allowBlank="true" showDropDown="false" showInputMessage="true" showErrorMessage="true" prompt="" sqref="L4:L30">
      <formula1/>
      <formula2/>
    </dataValidation>
    <dataValidation type="whole" errorStyle="stop" allowBlank="true" showDropDown="false" showInputMessage="true" showErrorMessage="true" prompt="" sqref="M4:M30">
      <formula1/>
      <formula2/>
    </dataValidation>
    <dataValidation type="whole" errorStyle="stop" allowBlank="true" showDropDown="false" showInputMessage="true" showErrorMessage="true" prompt="" sqref="N4:N30">
      <formula1/>
      <formula2/>
    </dataValidation>
    <dataValidation type="whole" errorStyle="stop" allowBlank="true" showDropDown="false" showInputMessage="true" showErrorMessage="true" prompt="" sqref="O4:O30">
      <formula1/>
      <formula2/>
    </dataValidation>
    <dataValidation type="whole" errorStyle="stop" allowBlank="true" showDropDown="false" showInputMessage="true" showErrorMessage="true" prompt="" sqref="P4:P30">
      <formula1/>
      <formula2/>
    </dataValidation>
    <dataValidation type="whole" errorStyle="stop" allowBlank="true" showDropDown="false" showInputMessage="true" showErrorMessage="true" prompt="" sqref="Q4:Q30">
      <formula1/>
      <formula2/>
    </dataValidation>
    <dataValidation type="whole" errorStyle="stop" allowBlank="true" showDropDown="false" showInputMessage="true" showErrorMessage="true" prompt="" sqref="R4:R30">
      <formula1/>
      <formula2/>
    </dataValidation>
    <dataValidation type="whole" errorStyle="stop" allowBlank="true" showDropDown="false" showInputMessage="true" showErrorMessage="true" prompt="" sqref="S4:S30">
      <formula1/>
      <formula2/>
    </dataValidation>
    <dataValidation type="whole" errorStyle="stop" allowBlank="true" showDropDown="false" showInputMessage="true" showErrorMessage="true" prompt="" sqref="T4:T30">
      <formula1/>
      <formula2/>
    </dataValidation>
    <dataValidation type="whole" errorStyle="stop" allowBlank="true" showDropDown="false" showInputMessage="true" showErrorMessage="true" prompt="" sqref="U4:U30">
      <formula1/>
      <formula2/>
    </dataValidation>
    <dataValidation type="whole" errorStyle="stop" allowBlank="true" showDropDown="false" showInputMessage="true" showErrorMessage="true" prompt="" sqref="V4:V30">
      <formula1/>
      <formula2/>
    </dataValidation>
    <dataValidation type="whole" errorStyle="stop" allowBlank="true" showDropDown="false" showInputMessage="true" showErrorMessage="true" prompt="" sqref="W4:W30">
      <formula1/>
      <formula2/>
    </dataValidation>
    <dataValidation type="whole" errorStyle="stop" allowBlank="true" showDropDown="false" showInputMessage="true" showErrorMessage="true" prompt="" sqref="X4:X30">
      <formula1/>
      <formula2/>
    </dataValidation>
    <dataValidation type="whole" errorStyle="stop" allowBlank="true" showDropDown="false" showInputMessage="true" showErrorMessage="true" prompt="" sqref="Y4:Y30">
      <formula1/>
      <formula2/>
    </dataValidation>
    <dataValidation type="whole" errorStyle="stop" allowBlank="true" showDropDown="false" showInputMessage="true" showErrorMessage="true" prompt="" sqref="Z4:Z30">
      <formula1/>
      <formula2/>
    </dataValidation>
    <dataValidation type="whole" errorStyle="stop" allowBlank="true" showDropDown="false" showInputMessage="true" showErrorMessage="true" prompt="" sqref="AA4:AA30">
      <formula1/>
      <formula2/>
    </dataValidation>
    <dataValidation type="whole" errorStyle="stop" allowBlank="true" showDropDown="false" showInputMessage="true" showErrorMessage="true" prompt="" sqref="AB4:AB30">
      <formula1/>
      <formula2/>
    </dataValidation>
    <dataValidation type="whole" errorStyle="stop" allowBlank="true" showDropDown="false" showInputMessage="true" showErrorMessage="true" prompt="" sqref="AC4:AC30">
      <formula1/>
      <formula2/>
    </dataValidation>
    <dataValidation type="whole" errorStyle="stop" allowBlank="true" showDropDown="false" showInputMessage="true" showErrorMessage="true" prompt="" sqref="AD4:AD30">
      <formula1/>
      <formula2/>
    </dataValidation>
    <dataValidation type="whole" errorStyle="stop" allowBlank="true" showDropDown="false" showInputMessage="true" showErrorMessage="true" prompt="" sqref="AE4:AE30">
      <formula1/>
      <formula2/>
    </dataValidation>
    <dataValidation type="whole" errorStyle="stop" allowBlank="true" showDropDown="false" showInputMessage="true" showErrorMessage="true" prompt="" sqref="AF4:AF30">
      <formula1/>
      <formula2/>
    </dataValidation>
    <dataValidation type="whole" errorStyle="stop" allowBlank="true" showDropDown="false" showInputMessage="true" showErrorMessage="true" prompt="" sqref="AG4:AG30">
      <formula1/>
      <formula2/>
    </dataValidation>
    <dataValidation type="whole" errorStyle="stop" allowBlank="true" showDropDown="false" showInputMessage="true" showErrorMessage="true" prompt="" sqref="AH4:AH30">
      <formula1/>
      <formula2/>
    </dataValidation>
    <dataValidation type="whole" errorStyle="stop" allowBlank="true" showDropDown="false" showInputMessage="true" showErrorMessage="true" prompt="" sqref="AI4:AI30">
      <formula1/>
      <formula2/>
    </dataValidation>
    <dataValidation type="whole" errorStyle="stop" allowBlank="true" showDropDown="false" showInputMessage="true" showErrorMessage="true" prompt="" sqref="AJ4:AJ30">
      <formula1/>
      <formula2/>
    </dataValidation>
    <dataValidation type="whole" errorStyle="stop" allowBlank="true" showDropDown="false" showInputMessage="true" showErrorMessage="true" prompt="" sqref="AK4:AK30">
      <formula1/>
      <formula2/>
    </dataValidation>
    <dataValidation type="whole" errorStyle="stop" allowBlank="true" showDropDown="false" showInputMessage="true" showErrorMessage="true" prompt="" sqref="AL4:AL30">
      <formula1/>
      <formula2/>
    </dataValidation>
    <dataValidation type="whole" errorStyle="stop" allowBlank="true" showDropDown="false" showInputMessage="true" showErrorMessage="true" prompt="" sqref="AM4:AM30">
      <formula1/>
      <formula2/>
    </dataValidation>
    <dataValidation type="whole" errorStyle="stop" allowBlank="true" showDropDown="false" showInputMessage="true" showErrorMessage="true" prompt="" sqref="AN4:AN30">
      <formula1/>
      <formula2/>
    </dataValidation>
    <dataValidation type="whole" errorStyle="stop" allowBlank="true" showDropDown="false" showInputMessage="true" showErrorMessage="true" prompt="" sqref="AO4:AO30">
      <formula1/>
      <formula2/>
    </dataValidation>
    <dataValidation type="whole" errorStyle="stop" allowBlank="true" showDropDown="false" showInputMessage="true" showErrorMessage="true" prompt="" sqref="AP4:AP30">
      <formula1/>
      <formula2/>
    </dataValidation>
    <dataValidation type="whole" errorStyle="stop" allowBlank="true" showDropDown="false" showInputMessage="true" showErrorMessage="true" prompt="" sqref="AQ4:AQ30">
      <formula1/>
      <formula2/>
    </dataValidation>
    <dataValidation type="whole" errorStyle="stop" allowBlank="true" showDropDown="false" showInputMessage="true" showErrorMessage="true" prompt="" sqref="AR4:AR30">
      <formula1/>
      <formula2/>
    </dataValidation>
    <dataValidation type="whole" errorStyle="stop" allowBlank="true" showDropDown="false" showInputMessage="true" showErrorMessage="true" prompt="" sqref="AS4:AS30">
      <formula1/>
      <formula2/>
    </dataValidation>
    <dataValidation type="whole" errorStyle="stop" allowBlank="true" showDropDown="false" showInputMessage="true" showErrorMessage="true" prompt="" sqref="AT4:AT30">
      <formula1/>
      <formula2/>
    </dataValidation>
    <dataValidation type="whole" errorStyle="stop" allowBlank="true" showDropDown="false" showInputMessage="true" showErrorMessage="true" prompt="" sqref="AU4:AU30">
      <formula1/>
      <formula2/>
    </dataValidation>
    <dataValidation type="whole" errorStyle="stop" allowBlank="true" showDropDown="false" showInputMessage="true" showErrorMessage="true" prompt="" sqref="AV4:AV30">
      <formula1/>
      <formula2/>
    </dataValidation>
    <dataValidation type="whole" errorStyle="stop" allowBlank="true" showDropDown="false" showInputMessage="true" showErrorMessage="true" prompt="" sqref="AW4:AW30">
      <formula1/>
      <formula2/>
    </dataValidation>
    <dataValidation type="whole" errorStyle="stop" allowBlank="true" showDropDown="false" showInputMessage="true" showErrorMessage="true" prompt="" sqref="AX4:AX30">
      <formula1/>
      <formula2/>
    </dataValidation>
    <dataValidation type="whole" errorStyle="stop" allowBlank="true" showDropDown="false" showInputMessage="true" showErrorMessage="true" prompt="" sqref="AY4:AY30">
      <formula1/>
      <formula2/>
    </dataValidation>
    <dataValidation type="whole" errorStyle="stop" allowBlank="true" showDropDown="false" showInputMessage="true" showErrorMessage="true" prompt="" sqref="AZ4:AZ30">
      <formula1/>
      <formula2/>
    </dataValidation>
    <dataValidation type="whole" errorStyle="stop" allowBlank="true" showDropDown="false" showInputMessage="true" showErrorMessage="true" prompt="" sqref="BA4:BA30">
      <formula1/>
      <formula2/>
    </dataValidation>
    <dataValidation type="whole" errorStyle="stop" allowBlank="true" showDropDown="false" showInputMessage="true" showErrorMessage="true" prompt="" sqref="BB4:BB30">
      <formula1/>
      <formula2/>
    </dataValidation>
    <dataValidation type="whole" errorStyle="stop" allowBlank="true" showDropDown="false" showInputMessage="true" showErrorMessage="true" prompt="" sqref="BC4:BC30">
      <formula1/>
      <formula2/>
    </dataValidation>
    <dataValidation type="whole" errorStyle="stop" allowBlank="true" showDropDown="false" showInputMessage="true" showErrorMessage="true" prompt="" sqref="BD4:BD30">
      <formula1/>
      <formula2/>
    </dataValidation>
    <dataValidation type="whole" errorStyle="stop" allowBlank="true" showDropDown="false" showInputMessage="true" showErrorMessage="true" prompt="" sqref="BE4:BE30">
      <formula1/>
      <formula2/>
    </dataValidation>
    <dataValidation type="whole" errorStyle="stop" allowBlank="true" showDropDown="false" showInputMessage="true" showErrorMessage="true" prompt="" sqref="BF4:BF30">
      <formula1/>
      <formula2/>
    </dataValidation>
    <dataValidation type="whole" errorStyle="stop" allowBlank="true" showDropDown="false" showInputMessage="true" showErrorMessage="true" prompt="" sqref="BG4:BG30">
      <formula1/>
      <formula2/>
    </dataValidation>
    <dataValidation type="whole" errorStyle="stop" allowBlank="true" showDropDown="false" showInputMessage="true" showErrorMessage="true" prompt="" sqref="BH4:BH30">
      <formula1/>
      <formula2/>
    </dataValidation>
    <dataValidation type="whole" errorStyle="stop" allowBlank="true" showDropDown="false" showInputMessage="true" showErrorMessage="true" prompt="" sqref="BI4:BI30">
      <formula1/>
      <formula2/>
    </dataValidation>
    <dataValidation type="whole" errorStyle="stop" allowBlank="true" showDropDown="false" showInputMessage="true" showErrorMessage="true" prompt="" sqref="BJ4:BJ30">
      <formula1/>
      <formula2/>
    </dataValidation>
    <dataValidation type="whole" errorStyle="stop" allowBlank="true" showDropDown="false" showInputMessage="true" showErrorMessage="true" prompt="" sqref="BK4:BK30">
      <formula1/>
      <formula2/>
    </dataValidation>
    <dataValidation type="whole" errorStyle="stop" allowBlank="true" showDropDown="false" showInputMessage="true" showErrorMessage="true" prompt="" sqref="BL4:BL30">
      <formula1/>
      <formula2/>
    </dataValidation>
    <dataValidation type="whole" errorStyle="stop" allowBlank="true" showDropDown="false" showInputMessage="true" showErrorMessage="true" prompt="" sqref="BM4:BM30">
      <formula1/>
      <formula2/>
    </dataValidation>
    <dataValidation type="whole" errorStyle="stop" allowBlank="true" showDropDown="false" showInputMessage="true" showErrorMessage="true" prompt="" sqref="BN4:BN30">
      <formula1/>
      <formula2/>
    </dataValidation>
    <dataValidation type="whole" errorStyle="stop" allowBlank="true" showDropDown="false" showInputMessage="true" showErrorMessage="true" prompt="" sqref="BO4:BO30">
      <formula1/>
      <formula2/>
    </dataValidation>
    <dataValidation type="whole" errorStyle="stop" allowBlank="true" showDropDown="false" showInputMessage="true" showErrorMessage="true" prompt="" sqref="BP4:BP30">
      <formula1/>
      <formula2/>
    </dataValidation>
    <dataValidation type="whole" errorStyle="stop" allowBlank="true" showDropDown="false" showInputMessage="true" showErrorMessage="true" prompt="" sqref="BQ4:BQ30">
      <formula1/>
      <formula2/>
    </dataValidation>
    <dataValidation type="whole" errorStyle="stop" allowBlank="true" showDropDown="false" showInputMessage="true" showErrorMessage="true" prompt="" sqref="BR4:BR30">
      <formula1/>
      <formula2/>
    </dataValidation>
    <dataValidation type="whole" errorStyle="stop" allowBlank="true" showDropDown="false" showInputMessage="true" showErrorMessage="true" prompt="" sqref="BS4:BS30">
      <formula1/>
      <formula2/>
    </dataValidation>
    <dataValidation type="whole" errorStyle="stop" allowBlank="true" showDropDown="false" showInputMessage="true" showErrorMessage="true" prompt="" sqref="BT4:BT30">
      <formula1/>
      <formula2/>
    </dataValidation>
    <dataValidation type="whole" errorStyle="stop" allowBlank="true" showDropDown="false" showInputMessage="true" showErrorMessage="true" prompt="" sqref="BU4:BU30">
      <formula1/>
      <formula2/>
    </dataValidation>
    <dataValidation type="whole" errorStyle="stop" allowBlank="true" showDropDown="false" showInputMessage="true" showErrorMessage="true" prompt="" sqref="BV4:BV30">
      <formula1/>
      <formula2/>
    </dataValidation>
    <dataValidation type="whole" errorStyle="stop" allowBlank="true" showDropDown="false" showInputMessage="true" showErrorMessage="true" prompt="" sqref="BW4:BW30">
      <formula1/>
      <formula2/>
    </dataValidation>
    <dataValidation type="whole" errorStyle="stop" allowBlank="true" showDropDown="false" showInputMessage="true" showErrorMessage="true" prompt="" sqref="BX4:BX30">
      <formula1/>
      <formula2/>
    </dataValidation>
    <dataValidation type="whole" errorStyle="stop" allowBlank="true" showDropDown="false" showInputMessage="true" showErrorMessage="true" prompt="" sqref="BY4:BY30">
      <formula1/>
      <formula2/>
    </dataValidation>
    <dataValidation type="whole" errorStyle="stop" allowBlank="true" showDropDown="false" showInputMessage="true" showErrorMessage="true" prompt="" sqref="BZ4:BZ30">
      <formula1/>
      <formula2/>
    </dataValidation>
    <dataValidation type="whole" errorStyle="stop" allowBlank="true" showDropDown="false" showInputMessage="true" showErrorMessage="true" prompt="" sqref="CA4:CA30">
      <formula1/>
      <formula2/>
    </dataValidation>
    <dataValidation type="whole" errorStyle="stop" allowBlank="true" showDropDown="false" showInputMessage="true" showErrorMessage="true" prompt="" sqref="CB4:CB30">
      <formula1/>
      <formula2/>
    </dataValidation>
    <dataValidation type="whole" errorStyle="stop" allowBlank="true" showDropDown="false" showInputMessage="true" showErrorMessage="true" prompt="" sqref="CC4:CC30">
      <formula1/>
      <formula2/>
    </dataValidation>
    <dataValidation type="whole" errorStyle="stop" allowBlank="true" showDropDown="false" showInputMessage="true" showErrorMessage="true" prompt="" sqref="CD4:CD30">
      <formula1/>
      <formula2/>
    </dataValidation>
    <dataValidation type="whole" errorStyle="stop" allowBlank="true" showDropDown="false" showInputMessage="true" showErrorMessage="true" prompt="" sqref="CE4:CE30">
      <formula1/>
      <formula2/>
    </dataValidation>
    <dataValidation type="whole" errorStyle="stop" allowBlank="true" showDropDown="false" showInputMessage="true" showErrorMessage="true" prompt="" sqref="CF4:CF30">
      <formula1/>
      <formula2/>
    </dataValidation>
  </dataValidations>
</worksheet>
</file>

<file path=xl/worksheets/sheet14.xml><?xml version="1.0" encoding="utf-8"?>
<worksheet xmlns="http://schemas.openxmlformats.org/spreadsheetml/2006/main">
  <sheetPr codeName="Jiao">
    <tabColor rgb="FFFFFFFF"/>
  </sheetPr>
  <dimension ref="CF30"/>
  <sheetViews>
    <sheetView showGridLines="true" workbookViewId="0">
      <pane xSplit="4" ySplit="3" topLeftCell="E4" state="frozen"/>
    </sheetView>
  </sheetViews>
  <cols>
    <col min="1" max="1" width="9.71094" customWidth="true"/>
    <col min="2" max="2" width="18.7109" customWidth="true"/>
    <col min="3" max="3" width="17.7109" customWidth="true"/>
    <col min="4" max="4" width="12.7109" customWidth="true"/>
    <col min="5" max="5" width="25.7109" customWidth="true"/>
    <col min="6" max="6" width="20.7109" customWidth="true"/>
    <col min="7" max="7" width="20.7109" customWidth="true"/>
    <col min="8" max="8" width="21.7109" customWidth="true"/>
    <col min="9" max="9" width="24.7109" customWidth="true"/>
    <col min="10" max="10" width="14.7109" customWidth="true"/>
    <col min="11" max="11" width="15.7109" customWidth="true"/>
    <col min="12" max="12" width="10.7109" customWidth="true"/>
    <col min="13" max="13" width="26.7109" customWidth="true"/>
    <col min="14" max="14" width="22.7109" customWidth="true"/>
    <col min="15" max="15" width="21.7109" customWidth="true"/>
    <col min="16" max="16" width="22.7109" customWidth="true"/>
    <col min="17" max="17" width="25.7109" customWidth="true"/>
    <col min="18" max="18" width="15.7109" customWidth="true"/>
    <col min="19" max="19" width="16.7109" customWidth="true"/>
    <col min="20" max="20" width="10.7109" customWidth="true"/>
    <col min="21" max="21" width="27.7109" customWidth="true"/>
    <col min="22" max="22" width="22.7109" customWidth="true"/>
    <col min="23" max="23" width="22.7109" customWidth="true"/>
    <col min="24" max="24" width="23.7109" customWidth="true"/>
    <col min="25" max="25" width="26.7109" customWidth="true"/>
    <col min="26" max="26" width="16.7109" customWidth="true"/>
    <col min="27" max="27" width="17.7109" customWidth="true"/>
    <col min="28" max="28" width="10.7109" customWidth="true"/>
    <col min="29" max="29" width="27.7109" customWidth="true"/>
    <col min="30" max="30" width="22.7109" customWidth="true"/>
    <col min="31" max="31" width="22.7109" customWidth="true"/>
    <col min="32" max="32" width="23.7109" customWidth="true"/>
    <col min="33" max="33" width="26.7109" customWidth="true"/>
    <col min="34" max="34" width="16.7109" customWidth="true"/>
    <col min="35" max="35" width="17.7109" customWidth="true"/>
    <col min="36" max="36" width="10.7109" customWidth="true"/>
    <col min="37" max="37" width="27.7109" customWidth="true"/>
    <col min="38" max="38" width="22.7109" customWidth="true"/>
    <col min="39" max="39" width="22.7109" customWidth="true"/>
    <col min="40" max="40" width="23.7109" customWidth="true"/>
    <col min="41" max="41" width="26.7109" customWidth="true"/>
    <col min="42" max="42" width="16.7109" customWidth="true"/>
    <col min="43" max="43" width="17.7109" customWidth="true"/>
    <col min="44" max="44" width="10.7109" customWidth="true"/>
    <col min="45" max="45" width="27.7109" customWidth="true"/>
    <col min="46" max="46" width="22.7109" customWidth="true"/>
    <col min="47" max="47" width="22.7109" customWidth="true"/>
    <col min="48" max="48" width="23.7109" customWidth="true"/>
    <col min="49" max="49" width="26.7109" customWidth="true"/>
    <col min="50" max="50" width="16.7109" customWidth="true"/>
    <col min="51" max="51" width="17.7109" customWidth="true"/>
    <col min="52" max="52" width="10.7109" customWidth="true"/>
    <col min="53" max="53" width="27.7109" customWidth="true"/>
    <col min="54" max="54" width="22.7109" customWidth="true"/>
    <col min="55" max="55" width="22.7109" customWidth="true"/>
    <col min="56" max="56" width="23.7109" customWidth="true"/>
    <col min="57" max="57" width="26.7109" customWidth="true"/>
    <col min="58" max="58" width="16.7109" customWidth="true"/>
    <col min="59" max="59" width="17.7109" customWidth="true"/>
    <col min="60" max="60" width="10.7109" customWidth="true"/>
    <col min="61" max="61" width="27.7109" customWidth="true"/>
    <col min="62" max="62" width="22.7109" customWidth="true"/>
    <col min="63" max="63" width="22.7109" customWidth="true"/>
    <col min="64" max="64" width="23.7109" customWidth="true"/>
    <col min="65" max="65" width="26.7109" customWidth="true"/>
    <col min="66" max="66" width="16.7109" customWidth="true"/>
    <col min="67" max="67" width="17.7109" customWidth="true"/>
    <col min="68" max="68" width="10.7109" customWidth="true"/>
    <col min="69" max="69" width="27.7109" customWidth="true"/>
    <col min="70" max="70" width="22.7109" customWidth="true"/>
    <col min="71" max="71" width="22.7109" customWidth="true"/>
    <col min="72" max="72" width="23.7109" customWidth="true"/>
    <col min="73" max="73" width="26.7109" customWidth="true"/>
    <col min="74" max="74" width="16.7109" customWidth="true"/>
    <col min="75" max="75" width="17.7109" customWidth="true"/>
    <col min="76" max="76" width="10.7109" customWidth="true"/>
    <col min="77" max="77" width="27.7109" customWidth="true"/>
    <col min="78" max="78" width="22.7109" customWidth="true"/>
    <col min="79" max="79" width="22.7109" customWidth="true"/>
    <col min="80" max="80" width="23.7109" customWidth="true"/>
    <col min="81" max="81" width="26.7109" customWidth="true"/>
    <col min="82" max="82" width="16.7109" customWidth="true"/>
    <col min="83" max="83" width="17.7109" customWidth="true"/>
    <col min="84" max="84" width="10.7109" customWidth="true"/>
  </cols>
  <sheetData>
    <row r="1" spans="1:84">
      <c r="A1" s="3" t="s">
        <v>1</v>
      </c>
      <c r="B1" s="4" t="s">
        <v>1</v>
      </c>
      <c r="C1" s="4" t="s">
        <v>1</v>
      </c>
      <c r="D1" s="4" t="s">
        <v>1</v>
      </c>
      <c r="E1" s="5" t="s">
        <v>2</v>
      </c>
      <c r="F1" s="6" t="s"/>
      <c r="G1" s="6" t="s"/>
      <c r="H1" s="6" t="s"/>
      <c r="I1" s="6" t="s"/>
      <c r="J1" s="6" t="s"/>
      <c r="K1" s="6" t="s"/>
      <c r="L1" s="7" t="s">
        <v>1</v>
      </c>
      <c r="M1" s="5" t="s">
        <v>3</v>
      </c>
      <c r="N1" s="6" t="s"/>
      <c r="O1" s="6" t="s"/>
      <c r="P1" s="6" t="s"/>
      <c r="Q1" s="6" t="s"/>
      <c r="R1" s="6" t="s"/>
      <c r="S1" s="6" t="s"/>
      <c r="T1" s="7" t="s">
        <v>1</v>
      </c>
      <c r="U1" s="5" t="s">
        <v>4</v>
      </c>
      <c r="V1" s="6" t="s"/>
      <c r="W1" s="6" t="s"/>
      <c r="X1" s="6" t="s"/>
      <c r="Y1" s="6" t="s"/>
      <c r="Z1" s="6" t="s"/>
      <c r="AA1" s="6" t="s"/>
      <c r="AB1" s="7" t="s">
        <v>1</v>
      </c>
      <c r="AC1" s="5" t="s">
        <v>5</v>
      </c>
      <c r="AD1" s="6" t="s"/>
      <c r="AE1" s="6" t="s"/>
      <c r="AF1" s="6" t="s"/>
      <c r="AG1" s="6" t="s"/>
      <c r="AH1" s="6" t="s"/>
      <c r="AI1" s="6" t="s"/>
      <c r="AJ1" s="7" t="s">
        <v>1</v>
      </c>
      <c r="AK1" s="5" t="s">
        <v>6</v>
      </c>
      <c r="AL1" s="6" t="s"/>
      <c r="AM1" s="6" t="s"/>
      <c r="AN1" s="6" t="s"/>
      <c r="AO1" s="6" t="s"/>
      <c r="AP1" s="6" t="s"/>
      <c r="AQ1" s="6" t="s"/>
      <c r="AR1" s="7" t="s">
        <v>1</v>
      </c>
      <c r="AS1" s="5" t="s">
        <v>7</v>
      </c>
      <c r="AT1" s="6" t="s"/>
      <c r="AU1" s="6" t="s"/>
      <c r="AV1" s="6" t="s"/>
      <c r="AW1" s="6" t="s"/>
      <c r="AX1" s="6" t="s"/>
      <c r="AY1" s="6" t="s"/>
      <c r="AZ1" s="7" t="s">
        <v>1</v>
      </c>
      <c r="BA1" s="5" t="s">
        <v>8</v>
      </c>
      <c r="BB1" s="6" t="s"/>
      <c r="BC1" s="6" t="s"/>
      <c r="BD1" s="6" t="s"/>
      <c r="BE1" s="6" t="s"/>
      <c r="BF1" s="6" t="s"/>
      <c r="BG1" s="6" t="s"/>
      <c r="BH1" s="7" t="s">
        <v>1</v>
      </c>
      <c r="BI1" s="5" t="s">
        <v>9</v>
      </c>
      <c r="BJ1" s="6" t="s"/>
      <c r="BK1" s="6" t="s"/>
      <c r="BL1" s="6" t="s"/>
      <c r="BM1" s="6" t="s"/>
      <c r="BN1" s="6" t="s"/>
      <c r="BO1" s="6" t="s"/>
      <c r="BP1" s="7" t="s">
        <v>1</v>
      </c>
      <c r="BQ1" s="5" t="s">
        <v>10</v>
      </c>
      <c r="BR1" s="6" t="s"/>
      <c r="BS1" s="6" t="s"/>
      <c r="BT1" s="6" t="s"/>
      <c r="BU1" s="6" t="s"/>
      <c r="BV1" s="6" t="s"/>
      <c r="BW1" s="6" t="s"/>
      <c r="BX1" s="7" t="s">
        <v>1</v>
      </c>
      <c r="BY1" s="5" t="s">
        <v>11</v>
      </c>
      <c r="BZ1" s="6" t="s"/>
      <c r="CA1" s="6" t="s"/>
      <c r="CB1" s="6" t="s"/>
      <c r="CC1" s="6" t="s"/>
      <c r="CD1" s="6" t="s"/>
      <c r="CE1" s="6" t="s"/>
      <c r="CF1" s="8" t="s">
        <v>1</v>
      </c>
    </row>
    <row r="2" spans="1:84" ht="15" customHeight="true">
      <c r="A2" s="9" t="s">
        <v>1</v>
      </c>
      <c r="B2" s="10" t="s">
        <v>1</v>
      </c>
      <c r="C2" s="10" t="s">
        <v>1</v>
      </c>
      <c r="D2" s="11" t="s">
        <v>1</v>
      </c>
      <c r="E2" s="12" t="s">
        <v>12</v>
      </c>
      <c r="F2" s="6" t="s"/>
      <c r="G2" s="6" t="s"/>
      <c r="H2" s="6" t="s"/>
      <c r="I2" s="13" t="s">
        <v>13</v>
      </c>
      <c r="J2" s="6" t="s"/>
      <c r="K2" s="6" t="s"/>
      <c r="L2" s="10" t="s">
        <v>1</v>
      </c>
      <c r="M2" s="12" t="s">
        <v>12</v>
      </c>
      <c r="N2" s="6" t="s"/>
      <c r="O2" s="6" t="s"/>
      <c r="P2" s="6" t="s"/>
      <c r="Q2" s="13" t="s">
        <v>13</v>
      </c>
      <c r="R2" s="6" t="s"/>
      <c r="S2" s="6" t="s"/>
      <c r="T2" s="10" t="s">
        <v>1</v>
      </c>
      <c r="U2" s="12" t="s">
        <v>12</v>
      </c>
      <c r="V2" s="6" t="s"/>
      <c r="W2" s="6" t="s"/>
      <c r="X2" s="6" t="s"/>
      <c r="Y2" s="13" t="s">
        <v>13</v>
      </c>
      <c r="Z2" s="6" t="s"/>
      <c r="AA2" s="6" t="s"/>
      <c r="AB2" s="10" t="s">
        <v>1</v>
      </c>
      <c r="AC2" s="12" t="s">
        <v>12</v>
      </c>
      <c r="AD2" s="6" t="s"/>
      <c r="AE2" s="6" t="s"/>
      <c r="AF2" s="6" t="s"/>
      <c r="AG2" s="13" t="s">
        <v>13</v>
      </c>
      <c r="AH2" s="6" t="s"/>
      <c r="AI2" s="6" t="s"/>
      <c r="AJ2" s="10" t="s">
        <v>1</v>
      </c>
      <c r="AK2" s="12" t="s">
        <v>12</v>
      </c>
      <c r="AL2" s="6" t="s"/>
      <c r="AM2" s="6" t="s"/>
      <c r="AN2" s="6" t="s"/>
      <c r="AO2" s="13" t="s">
        <v>13</v>
      </c>
      <c r="AP2" s="6" t="s"/>
      <c r="AQ2" s="6" t="s"/>
      <c r="AR2" s="10" t="s">
        <v>1</v>
      </c>
      <c r="AS2" s="12" t="s">
        <v>12</v>
      </c>
      <c r="AT2" s="6" t="s"/>
      <c r="AU2" s="6" t="s"/>
      <c r="AV2" s="6" t="s"/>
      <c r="AW2" s="13" t="s">
        <v>13</v>
      </c>
      <c r="AX2" s="6" t="s"/>
      <c r="AY2" s="6" t="s"/>
      <c r="AZ2" s="10" t="s">
        <v>1</v>
      </c>
      <c r="BA2" s="12" t="s">
        <v>12</v>
      </c>
      <c r="BB2" s="6" t="s"/>
      <c r="BC2" s="6" t="s"/>
      <c r="BD2" s="6" t="s"/>
      <c r="BE2" s="13" t="s">
        <v>13</v>
      </c>
      <c r="BF2" s="6" t="s"/>
      <c r="BG2" s="6" t="s"/>
      <c r="BH2" s="10" t="s">
        <v>1</v>
      </c>
      <c r="BI2" s="12" t="s">
        <v>12</v>
      </c>
      <c r="BJ2" s="6" t="s"/>
      <c r="BK2" s="6" t="s"/>
      <c r="BL2" s="6" t="s"/>
      <c r="BM2" s="13" t="s">
        <v>13</v>
      </c>
      <c r="BN2" s="6" t="s"/>
      <c r="BO2" s="6" t="s"/>
      <c r="BP2" s="10" t="s">
        <v>1</v>
      </c>
      <c r="BQ2" s="12" t="s">
        <v>12</v>
      </c>
      <c r="BR2" s="6" t="s"/>
      <c r="BS2" s="6" t="s"/>
      <c r="BT2" s="6" t="s"/>
      <c r="BU2" s="13" t="s">
        <v>13</v>
      </c>
      <c r="BV2" s="6" t="s"/>
      <c r="BW2" s="6" t="s"/>
      <c r="BX2" s="10" t="s">
        <v>1</v>
      </c>
      <c r="BY2" s="12" t="s">
        <v>12</v>
      </c>
      <c r="BZ2" s="6" t="s"/>
      <c r="CA2" s="6" t="s"/>
      <c r="CB2" s="6" t="s"/>
      <c r="CC2" s="13" t="s">
        <v>13</v>
      </c>
      <c r="CD2" s="6" t="s"/>
      <c r="CE2" s="6" t="s"/>
      <c r="CF2" s="10" t="s">
        <v>1</v>
      </c>
    </row>
    <row r="3" spans="1:84" ht="48.75" customHeight="true">
      <c r="A3" s="14" t="s">
        <v>155</v>
      </c>
      <c r="B3" s="14" t="s">
        <v>156</v>
      </c>
      <c r="C3" s="14" t="s">
        <v>157</v>
      </c>
      <c r="D3" s="15" t="s">
        <v>14</v>
      </c>
      <c r="E3" s="16" t="s">
        <v>15</v>
      </c>
      <c r="F3" s="16" t="s">
        <v>16</v>
      </c>
      <c r="G3" s="16" t="s">
        <v>17</v>
      </c>
      <c r="H3" s="16" t="s">
        <v>18</v>
      </c>
      <c r="I3" s="16" t="s">
        <v>19</v>
      </c>
      <c r="J3" s="16" t="s">
        <v>20</v>
      </c>
      <c r="K3" s="16" t="s">
        <v>21</v>
      </c>
      <c r="L3" s="17" t="s">
        <v>22</v>
      </c>
      <c r="M3" s="16" t="s">
        <v>23</v>
      </c>
      <c r="N3" s="16" t="s">
        <v>24</v>
      </c>
      <c r="O3" s="16" t="s">
        <v>25</v>
      </c>
      <c r="P3" s="16" t="s">
        <v>26</v>
      </c>
      <c r="Q3" s="16" t="s">
        <v>27</v>
      </c>
      <c r="R3" s="16" t="s">
        <v>28</v>
      </c>
      <c r="S3" s="16" t="s">
        <v>29</v>
      </c>
      <c r="T3" s="17" t="s">
        <v>30</v>
      </c>
      <c r="U3" s="16" t="s">
        <v>31</v>
      </c>
      <c r="V3" s="16" t="s">
        <v>32</v>
      </c>
      <c r="W3" s="16" t="s">
        <v>33</v>
      </c>
      <c r="X3" s="16" t="s">
        <v>34</v>
      </c>
      <c r="Y3" s="16" t="s">
        <v>35</v>
      </c>
      <c r="Z3" s="16" t="s">
        <v>36</v>
      </c>
      <c r="AA3" s="16" t="s">
        <v>37</v>
      </c>
      <c r="AB3" s="17" t="s">
        <v>38</v>
      </c>
      <c r="AC3" s="16" t="s">
        <v>39</v>
      </c>
      <c r="AD3" s="16" t="s">
        <v>40</v>
      </c>
      <c r="AE3" s="16" t="s">
        <v>41</v>
      </c>
      <c r="AF3" s="16" t="s">
        <v>42</v>
      </c>
      <c r="AG3" s="16" t="s">
        <v>43</v>
      </c>
      <c r="AH3" s="16" t="s">
        <v>44</v>
      </c>
      <c r="AI3" s="16" t="s">
        <v>45</v>
      </c>
      <c r="AJ3" s="17" t="s">
        <v>46</v>
      </c>
      <c r="AK3" s="16" t="s">
        <v>47</v>
      </c>
      <c r="AL3" s="16" t="s">
        <v>48</v>
      </c>
      <c r="AM3" s="16" t="s">
        <v>49</v>
      </c>
      <c r="AN3" s="16" t="s">
        <v>50</v>
      </c>
      <c r="AO3" s="16" t="s">
        <v>51</v>
      </c>
      <c r="AP3" s="16" t="s">
        <v>52</v>
      </c>
      <c r="AQ3" s="16" t="s">
        <v>53</v>
      </c>
      <c r="AR3" s="17" t="s">
        <v>54</v>
      </c>
      <c r="AS3" s="16" t="s">
        <v>55</v>
      </c>
      <c r="AT3" s="16" t="s">
        <v>56</v>
      </c>
      <c r="AU3" s="16" t="s">
        <v>57</v>
      </c>
      <c r="AV3" s="16" t="s">
        <v>58</v>
      </c>
      <c r="AW3" s="16" t="s">
        <v>59</v>
      </c>
      <c r="AX3" s="16" t="s">
        <v>60</v>
      </c>
      <c r="AY3" s="16" t="s">
        <v>61</v>
      </c>
      <c r="AZ3" s="17" t="s">
        <v>62</v>
      </c>
      <c r="BA3" s="16" t="s">
        <v>63</v>
      </c>
      <c r="BB3" s="16" t="s">
        <v>64</v>
      </c>
      <c r="BC3" s="16" t="s">
        <v>65</v>
      </c>
      <c r="BD3" s="16" t="s">
        <v>66</v>
      </c>
      <c r="BE3" s="16" t="s">
        <v>67</v>
      </c>
      <c r="BF3" s="16" t="s">
        <v>68</v>
      </c>
      <c r="BG3" s="16" t="s">
        <v>69</v>
      </c>
      <c r="BH3" s="17" t="s">
        <v>70</v>
      </c>
      <c r="BI3" s="16" t="s">
        <v>71</v>
      </c>
      <c r="BJ3" s="16" t="s">
        <v>72</v>
      </c>
      <c r="BK3" s="16" t="s">
        <v>73</v>
      </c>
      <c r="BL3" s="16" t="s">
        <v>74</v>
      </c>
      <c r="BM3" s="16" t="s">
        <v>75</v>
      </c>
      <c r="BN3" s="16" t="s">
        <v>76</v>
      </c>
      <c r="BO3" s="16" t="s">
        <v>77</v>
      </c>
      <c r="BP3" s="17" t="s">
        <v>78</v>
      </c>
      <c r="BQ3" s="16" t="s">
        <v>79</v>
      </c>
      <c r="BR3" s="16" t="s">
        <v>80</v>
      </c>
      <c r="BS3" s="16" t="s">
        <v>81</v>
      </c>
      <c r="BT3" s="16" t="s">
        <v>82</v>
      </c>
      <c r="BU3" s="16" t="s">
        <v>83</v>
      </c>
      <c r="BV3" s="16" t="s">
        <v>84</v>
      </c>
      <c r="BW3" s="16" t="s">
        <v>85</v>
      </c>
      <c r="BX3" s="17" t="s">
        <v>86</v>
      </c>
      <c r="BY3" s="16" t="s">
        <v>87</v>
      </c>
      <c r="BZ3" s="16" t="s">
        <v>88</v>
      </c>
      <c r="CA3" s="16" t="s">
        <v>89</v>
      </c>
      <c r="CB3" s="16" t="s">
        <v>90</v>
      </c>
      <c r="CC3" s="16" t="s">
        <v>91</v>
      </c>
      <c r="CD3" s="16" t="s">
        <v>92</v>
      </c>
      <c r="CE3" s="16" t="s">
        <v>93</v>
      </c>
      <c r="CF3" s="18" t="s">
        <v>94</v>
      </c>
    </row>
    <row r="4" spans="1:84">
      <c r="A4" s="19">
        <v>1</v>
      </c>
      <c r="B4" s="20" t="s">
        <v>158</v>
      </c>
      <c r="C4" s="20" t="s">
        <v>95</v>
      </c>
      <c r="D4" s="20" t="s">
        <v>96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2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2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2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2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2">
        <v>0</v>
      </c>
      <c r="AS4" s="21">
        <v>0</v>
      </c>
      <c r="AT4" s="21">
        <v>0</v>
      </c>
      <c r="AU4" s="21">
        <v>0</v>
      </c>
      <c r="AV4" s="21">
        <v>0</v>
      </c>
      <c r="AW4" s="21">
        <v>0</v>
      </c>
      <c r="AX4" s="21">
        <v>0</v>
      </c>
      <c r="AY4" s="21">
        <v>0</v>
      </c>
      <c r="AZ4" s="22">
        <v>0</v>
      </c>
      <c r="BA4" s="21">
        <v>0</v>
      </c>
      <c r="BB4" s="21">
        <v>0</v>
      </c>
      <c r="BC4" s="21">
        <v>0</v>
      </c>
      <c r="BD4" s="21">
        <v>0</v>
      </c>
      <c r="BE4" s="21">
        <v>0</v>
      </c>
      <c r="BF4" s="21">
        <v>0</v>
      </c>
      <c r="BG4" s="21">
        <v>0</v>
      </c>
      <c r="BH4" s="22">
        <v>0</v>
      </c>
      <c r="BI4" s="21">
        <v>0</v>
      </c>
      <c r="BJ4" s="21">
        <v>0</v>
      </c>
      <c r="BK4" s="21">
        <v>0</v>
      </c>
      <c r="BL4" s="21">
        <v>0</v>
      </c>
      <c r="BM4" s="21">
        <v>0</v>
      </c>
      <c r="BN4" s="21">
        <v>0</v>
      </c>
      <c r="BO4" s="21">
        <v>0</v>
      </c>
      <c r="BP4" s="22">
        <v>0</v>
      </c>
      <c r="BQ4" s="21">
        <v>0</v>
      </c>
      <c r="BR4" s="21">
        <v>0</v>
      </c>
      <c r="BS4" s="21">
        <v>0</v>
      </c>
      <c r="BT4" s="21">
        <v>0</v>
      </c>
      <c r="BU4" s="21">
        <v>0</v>
      </c>
      <c r="BV4" s="21">
        <v>0</v>
      </c>
      <c r="BW4" s="21">
        <v>0</v>
      </c>
      <c r="BX4" s="22">
        <v>0</v>
      </c>
      <c r="BY4" s="21">
        <v>0</v>
      </c>
      <c r="BZ4" s="21">
        <v>0</v>
      </c>
      <c r="CA4" s="21">
        <v>0</v>
      </c>
      <c r="CB4" s="21">
        <v>0</v>
      </c>
      <c r="CC4" s="21">
        <v>0</v>
      </c>
      <c r="CD4" s="21">
        <v>0</v>
      </c>
      <c r="CE4" s="21">
        <v>0</v>
      </c>
      <c r="CF4" s="22">
        <v>0</v>
      </c>
    </row>
    <row r="5" spans="1:84">
      <c r="A5" s="19">
        <v>2</v>
      </c>
      <c r="B5" s="20" t="s">
        <v>159</v>
      </c>
      <c r="C5" s="20" t="s">
        <v>95</v>
      </c>
      <c r="D5" s="20" t="s">
        <v>96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2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2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2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2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2">
        <v>0</v>
      </c>
      <c r="AS5" s="21">
        <v>0</v>
      </c>
      <c r="AT5" s="21">
        <v>0</v>
      </c>
      <c r="AU5" s="21">
        <v>0</v>
      </c>
      <c r="AV5" s="21">
        <v>0</v>
      </c>
      <c r="AW5" s="21">
        <v>0</v>
      </c>
      <c r="AX5" s="21">
        <v>0</v>
      </c>
      <c r="AY5" s="21">
        <v>0</v>
      </c>
      <c r="AZ5" s="22">
        <v>0</v>
      </c>
      <c r="BA5" s="21">
        <v>0</v>
      </c>
      <c r="BB5" s="21">
        <v>0</v>
      </c>
      <c r="BC5" s="21">
        <v>0</v>
      </c>
      <c r="BD5" s="21">
        <v>0</v>
      </c>
      <c r="BE5" s="21">
        <v>0</v>
      </c>
      <c r="BF5" s="21">
        <v>0</v>
      </c>
      <c r="BG5" s="21">
        <v>0</v>
      </c>
      <c r="BH5" s="22">
        <v>0</v>
      </c>
      <c r="BI5" s="21">
        <v>0</v>
      </c>
      <c r="BJ5" s="21">
        <v>0</v>
      </c>
      <c r="BK5" s="21">
        <v>0</v>
      </c>
      <c r="BL5" s="21">
        <v>0</v>
      </c>
      <c r="BM5" s="21">
        <v>0</v>
      </c>
      <c r="BN5" s="21">
        <v>0</v>
      </c>
      <c r="BO5" s="21">
        <v>0</v>
      </c>
      <c r="BP5" s="22">
        <v>0</v>
      </c>
      <c r="BQ5" s="21">
        <v>0</v>
      </c>
      <c r="BR5" s="21">
        <v>0</v>
      </c>
      <c r="BS5" s="21">
        <v>0</v>
      </c>
      <c r="BT5" s="21">
        <v>0</v>
      </c>
      <c r="BU5" s="21">
        <v>0</v>
      </c>
      <c r="BV5" s="21">
        <v>0</v>
      </c>
      <c r="BW5" s="21">
        <v>0</v>
      </c>
      <c r="BX5" s="22">
        <v>0</v>
      </c>
      <c r="BY5" s="21">
        <v>0</v>
      </c>
      <c r="BZ5" s="21">
        <v>0</v>
      </c>
      <c r="CA5" s="21">
        <v>0</v>
      </c>
      <c r="CB5" s="21">
        <v>0</v>
      </c>
      <c r="CC5" s="21">
        <v>0</v>
      </c>
      <c r="CD5" s="21">
        <v>0</v>
      </c>
      <c r="CE5" s="21">
        <v>0</v>
      </c>
      <c r="CF5" s="22">
        <v>0</v>
      </c>
    </row>
    <row r="6" spans="1:84">
      <c r="A6" s="19">
        <v>3</v>
      </c>
      <c r="B6" s="20" t="s">
        <v>160</v>
      </c>
      <c r="C6" s="20" t="s">
        <v>97</v>
      </c>
      <c r="D6" s="20" t="s">
        <v>96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2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2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2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2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2">
        <v>0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2">
        <v>0</v>
      </c>
      <c r="BA6" s="21">
        <v>0</v>
      </c>
      <c r="BB6" s="21">
        <v>0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H6" s="22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  <c r="BP6" s="22">
        <v>0</v>
      </c>
      <c r="BQ6" s="21">
        <v>0</v>
      </c>
      <c r="BR6" s="21">
        <v>0</v>
      </c>
      <c r="BS6" s="21">
        <v>0</v>
      </c>
      <c r="BT6" s="21">
        <v>0</v>
      </c>
      <c r="BU6" s="21">
        <v>0</v>
      </c>
      <c r="BV6" s="21">
        <v>0</v>
      </c>
      <c r="BW6" s="21">
        <v>0</v>
      </c>
      <c r="BX6" s="22">
        <v>0</v>
      </c>
      <c r="BY6" s="21">
        <v>0</v>
      </c>
      <c r="BZ6" s="21">
        <v>0</v>
      </c>
      <c r="CA6" s="21">
        <v>0</v>
      </c>
      <c r="CB6" s="21">
        <v>0</v>
      </c>
      <c r="CC6" s="21">
        <v>0</v>
      </c>
      <c r="CD6" s="21">
        <v>0</v>
      </c>
      <c r="CE6" s="21">
        <v>0</v>
      </c>
      <c r="CF6" s="22">
        <v>0</v>
      </c>
    </row>
    <row r="7" spans="1:84">
      <c r="A7" s="19">
        <v>4</v>
      </c>
      <c r="B7" s="20" t="s">
        <v>161</v>
      </c>
      <c r="C7" s="20" t="s">
        <v>97</v>
      </c>
      <c r="D7" s="20" t="s">
        <v>96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2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2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2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2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2">
        <v>0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>
        <v>0</v>
      </c>
      <c r="AY7" s="21">
        <v>0</v>
      </c>
      <c r="AZ7" s="22">
        <v>0</v>
      </c>
      <c r="BA7" s="21">
        <v>0</v>
      </c>
      <c r="BB7" s="21">
        <v>0</v>
      </c>
      <c r="BC7" s="21">
        <v>0</v>
      </c>
      <c r="BD7" s="21">
        <v>0</v>
      </c>
      <c r="BE7" s="21">
        <v>0</v>
      </c>
      <c r="BF7" s="21">
        <v>0</v>
      </c>
      <c r="BG7" s="21">
        <v>0</v>
      </c>
      <c r="BH7" s="22">
        <v>0</v>
      </c>
      <c r="BI7" s="21">
        <v>0</v>
      </c>
      <c r="BJ7" s="21">
        <v>0</v>
      </c>
      <c r="BK7" s="21">
        <v>0</v>
      </c>
      <c r="BL7" s="21">
        <v>0</v>
      </c>
      <c r="BM7" s="21">
        <v>0</v>
      </c>
      <c r="BN7" s="21">
        <v>0</v>
      </c>
      <c r="BO7" s="21">
        <v>0</v>
      </c>
      <c r="BP7" s="22">
        <v>0</v>
      </c>
      <c r="BQ7" s="21">
        <v>0</v>
      </c>
      <c r="BR7" s="21">
        <v>0</v>
      </c>
      <c r="BS7" s="21">
        <v>0</v>
      </c>
      <c r="BT7" s="21">
        <v>0</v>
      </c>
      <c r="BU7" s="21">
        <v>0</v>
      </c>
      <c r="BV7" s="21">
        <v>0</v>
      </c>
      <c r="BW7" s="21">
        <v>0</v>
      </c>
      <c r="BX7" s="22">
        <v>0</v>
      </c>
      <c r="BY7" s="21">
        <v>0</v>
      </c>
      <c r="BZ7" s="21">
        <v>0</v>
      </c>
      <c r="CA7" s="21">
        <v>0</v>
      </c>
      <c r="CB7" s="21">
        <v>0</v>
      </c>
      <c r="CC7" s="21">
        <v>0</v>
      </c>
      <c r="CD7" s="21">
        <v>0</v>
      </c>
      <c r="CE7" s="21">
        <v>0</v>
      </c>
      <c r="CF7" s="22">
        <v>0</v>
      </c>
    </row>
    <row r="8" spans="1:84">
      <c r="A8" s="23">
        <v>5</v>
      </c>
      <c r="B8" s="24" t="s">
        <v>162</v>
      </c>
      <c r="C8" s="24" t="s">
        <v>97</v>
      </c>
      <c r="D8" s="24" t="s">
        <v>98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2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2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2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2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2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2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2">
        <v>0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  <c r="BO8" s="21">
        <v>0</v>
      </c>
      <c r="BP8" s="22">
        <v>0</v>
      </c>
      <c r="BQ8" s="21">
        <v>0</v>
      </c>
      <c r="BR8" s="21">
        <v>0</v>
      </c>
      <c r="BS8" s="21">
        <v>0</v>
      </c>
      <c r="BT8" s="21">
        <v>0</v>
      </c>
      <c r="BU8" s="21">
        <v>0</v>
      </c>
      <c r="BV8" s="21">
        <v>0</v>
      </c>
      <c r="BW8" s="21">
        <v>0</v>
      </c>
      <c r="BX8" s="22">
        <v>0</v>
      </c>
      <c r="BY8" s="21">
        <v>0</v>
      </c>
      <c r="BZ8" s="21">
        <v>0</v>
      </c>
      <c r="CA8" s="21">
        <v>0</v>
      </c>
      <c r="CB8" s="21">
        <v>0</v>
      </c>
      <c r="CC8" s="21">
        <v>0</v>
      </c>
      <c r="CD8" s="21">
        <v>0</v>
      </c>
      <c r="CE8" s="21">
        <v>0</v>
      </c>
      <c r="CF8" s="22">
        <v>0</v>
      </c>
    </row>
    <row r="9" spans="1:84">
      <c r="A9" s="23">
        <v>6</v>
      </c>
      <c r="B9" s="24" t="s">
        <v>163</v>
      </c>
      <c r="C9" s="24" t="s">
        <v>97</v>
      </c>
      <c r="D9" s="24" t="s">
        <v>98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2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2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2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2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2">
        <v>0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1">
        <v>0</v>
      </c>
      <c r="AZ9" s="22">
        <v>0</v>
      </c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F9" s="21">
        <v>0</v>
      </c>
      <c r="BG9" s="21">
        <v>0</v>
      </c>
      <c r="BH9" s="22">
        <v>0</v>
      </c>
      <c r="BI9" s="21">
        <v>0</v>
      </c>
      <c r="BJ9" s="21">
        <v>0</v>
      </c>
      <c r="BK9" s="21">
        <v>0</v>
      </c>
      <c r="BL9" s="21">
        <v>0</v>
      </c>
      <c r="BM9" s="21">
        <v>0</v>
      </c>
      <c r="BN9" s="21">
        <v>0</v>
      </c>
      <c r="BO9" s="21">
        <v>0</v>
      </c>
      <c r="BP9" s="22">
        <v>0</v>
      </c>
      <c r="BQ9" s="21">
        <v>0</v>
      </c>
      <c r="BR9" s="21">
        <v>0</v>
      </c>
      <c r="BS9" s="21">
        <v>0</v>
      </c>
      <c r="BT9" s="21">
        <v>0</v>
      </c>
      <c r="BU9" s="21">
        <v>0</v>
      </c>
      <c r="BV9" s="21">
        <v>0</v>
      </c>
      <c r="BW9" s="21">
        <v>0</v>
      </c>
      <c r="BX9" s="22">
        <v>0</v>
      </c>
      <c r="BY9" s="21">
        <v>0</v>
      </c>
      <c r="BZ9" s="21">
        <v>0</v>
      </c>
      <c r="CA9" s="21">
        <v>0</v>
      </c>
      <c r="CB9" s="21">
        <v>0</v>
      </c>
      <c r="CC9" s="21">
        <v>0</v>
      </c>
      <c r="CD9" s="21">
        <v>0</v>
      </c>
      <c r="CE9" s="21">
        <v>0</v>
      </c>
      <c r="CF9" s="22">
        <v>0</v>
      </c>
    </row>
    <row r="10" spans="1:84">
      <c r="A10" s="23">
        <v>7</v>
      </c>
      <c r="B10" s="24" t="s">
        <v>164</v>
      </c>
      <c r="C10" s="24" t="s">
        <v>99</v>
      </c>
      <c r="D10" s="24" t="s">
        <v>98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2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2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2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2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2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2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2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  <c r="BO10" s="21">
        <v>0</v>
      </c>
      <c r="BP10" s="22">
        <v>0</v>
      </c>
      <c r="BQ10" s="21">
        <v>0</v>
      </c>
      <c r="BR10" s="21">
        <v>0</v>
      </c>
      <c r="BS10" s="21">
        <v>0</v>
      </c>
      <c r="BT10" s="21">
        <v>0</v>
      </c>
      <c r="BU10" s="21">
        <v>0</v>
      </c>
      <c r="BV10" s="21">
        <v>0</v>
      </c>
      <c r="BW10" s="21">
        <v>0</v>
      </c>
      <c r="BX10" s="22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2">
        <v>0</v>
      </c>
    </row>
    <row r="11" spans="1:84">
      <c r="A11" s="25">
        <v>8</v>
      </c>
      <c r="B11" s="26" t="s">
        <v>165</v>
      </c>
      <c r="C11" s="26" t="s">
        <v>99</v>
      </c>
      <c r="D11" s="26" t="s">
        <v>100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2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2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2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2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2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2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2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2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2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2">
        <v>0</v>
      </c>
    </row>
    <row r="12" spans="1:84">
      <c r="A12" s="25">
        <v>9</v>
      </c>
      <c r="B12" s="26" t="s">
        <v>166</v>
      </c>
      <c r="C12" s="26" t="s">
        <v>99</v>
      </c>
      <c r="D12" s="26" t="s">
        <v>100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2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2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2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2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2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2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2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2">
        <v>0</v>
      </c>
      <c r="BQ12" s="21">
        <v>0</v>
      </c>
      <c r="BR12" s="21">
        <v>0</v>
      </c>
      <c r="BS12" s="21">
        <v>0</v>
      </c>
      <c r="BT12" s="21">
        <v>0</v>
      </c>
      <c r="BU12" s="21">
        <v>0</v>
      </c>
      <c r="BV12" s="21">
        <v>0</v>
      </c>
      <c r="BW12" s="21">
        <v>0</v>
      </c>
      <c r="BX12" s="22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2">
        <v>0</v>
      </c>
    </row>
    <row r="13" spans="1:84">
      <c r="A13" s="25">
        <v>10</v>
      </c>
      <c r="B13" s="26" t="s">
        <v>167</v>
      </c>
      <c r="C13" s="26" t="s">
        <v>101</v>
      </c>
      <c r="D13" s="26" t="s">
        <v>100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2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2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2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2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2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2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2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v>0</v>
      </c>
      <c r="BO13" s="21">
        <v>0</v>
      </c>
      <c r="BP13" s="22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2">
        <v>0</v>
      </c>
      <c r="BY13" s="21">
        <v>0</v>
      </c>
      <c r="BZ13" s="21"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2">
        <v>0</v>
      </c>
    </row>
    <row r="14" spans="1:84">
      <c r="A14" s="27">
        <v>11</v>
      </c>
      <c r="B14" s="28" t="s">
        <v>168</v>
      </c>
      <c r="C14" s="28" t="s">
        <v>101</v>
      </c>
      <c r="D14" s="28" t="s">
        <v>102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2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2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2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2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2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2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2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  <c r="BO14" s="21">
        <v>0</v>
      </c>
      <c r="BP14" s="22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2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2">
        <v>0</v>
      </c>
    </row>
    <row r="15" spans="1:84">
      <c r="A15" s="27">
        <v>12</v>
      </c>
      <c r="B15" s="28" t="s">
        <v>169</v>
      </c>
      <c r="C15" s="28" t="s">
        <v>101</v>
      </c>
      <c r="D15" s="28" t="s">
        <v>102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2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2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2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2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2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2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2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2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2">
        <v>0</v>
      </c>
      <c r="BY15" s="21">
        <v>0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2">
        <v>0</v>
      </c>
    </row>
    <row r="16" spans="1:84">
      <c r="A16" s="27">
        <v>13</v>
      </c>
      <c r="B16" s="28" t="s">
        <v>170</v>
      </c>
      <c r="C16" s="28" t="s">
        <v>103</v>
      </c>
      <c r="D16" s="28" t="s">
        <v>102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2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2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2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2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2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2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2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2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2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2">
        <v>0</v>
      </c>
    </row>
    <row r="17" spans="1:84">
      <c r="A17" s="19">
        <v>14</v>
      </c>
      <c r="B17" s="20" t="s">
        <v>171</v>
      </c>
      <c r="C17" s="20" t="s">
        <v>104</v>
      </c>
      <c r="D17" s="20" t="s">
        <v>96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2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2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2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2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2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2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2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2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2">
        <v>0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2">
        <v>0</v>
      </c>
    </row>
    <row r="18" spans="1:84">
      <c r="A18" s="23">
        <v>15</v>
      </c>
      <c r="B18" s="24" t="s">
        <v>172</v>
      </c>
      <c r="C18" s="24" t="s">
        <v>104</v>
      </c>
      <c r="D18" s="24" t="s">
        <v>98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2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2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2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2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2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2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2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  <c r="BO18" s="21">
        <v>0</v>
      </c>
      <c r="BP18" s="22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2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2">
        <v>0</v>
      </c>
    </row>
    <row r="19" spans="1:84">
      <c r="A19" s="23">
        <v>16</v>
      </c>
      <c r="B19" s="24" t="s">
        <v>173</v>
      </c>
      <c r="C19" s="24" t="s">
        <v>104</v>
      </c>
      <c r="D19" s="24" t="s">
        <v>98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2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2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2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2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2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2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2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2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2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2">
        <v>0</v>
      </c>
    </row>
    <row r="20" spans="1:84">
      <c r="A20" s="25">
        <v>17</v>
      </c>
      <c r="B20" s="26" t="s">
        <v>174</v>
      </c>
      <c r="C20" s="26" t="s">
        <v>104</v>
      </c>
      <c r="D20" s="26" t="s">
        <v>100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2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2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2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2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2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2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2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  <c r="BO20" s="21">
        <v>0</v>
      </c>
      <c r="BP20" s="22">
        <v>0</v>
      </c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21">
        <v>0</v>
      </c>
      <c r="BW20" s="21">
        <v>0</v>
      </c>
      <c r="BX20" s="22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2">
        <v>0</v>
      </c>
    </row>
    <row r="21" spans="1:84">
      <c r="A21" s="25">
        <v>18</v>
      </c>
      <c r="B21" s="26" t="s">
        <v>175</v>
      </c>
      <c r="C21" s="26" t="s">
        <v>104</v>
      </c>
      <c r="D21" s="26" t="s">
        <v>100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2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2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2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2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2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2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2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2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2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2">
        <v>0</v>
      </c>
    </row>
    <row r="22" spans="1:84">
      <c r="A22" s="27">
        <v>19</v>
      </c>
      <c r="B22" s="28" t="s">
        <v>176</v>
      </c>
      <c r="C22" s="28" t="s">
        <v>104</v>
      </c>
      <c r="D22" s="28" t="s">
        <v>102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2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2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2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2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2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2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2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P22" s="22">
        <v>0</v>
      </c>
      <c r="BQ22" s="21">
        <v>0</v>
      </c>
      <c r="BR22" s="21">
        <v>0</v>
      </c>
      <c r="BS22" s="21">
        <v>0</v>
      </c>
      <c r="BT22" s="21">
        <v>0</v>
      </c>
      <c r="BU22" s="21">
        <v>0</v>
      </c>
      <c r="BV22" s="21">
        <v>0</v>
      </c>
      <c r="BW22" s="21">
        <v>0</v>
      </c>
      <c r="BX22" s="22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2">
        <v>0</v>
      </c>
    </row>
    <row r="23" spans="1:84">
      <c r="A23" s="27">
        <v>20</v>
      </c>
      <c r="B23" s="28" t="s">
        <v>177</v>
      </c>
      <c r="C23" s="28" t="s">
        <v>105</v>
      </c>
      <c r="D23" s="28" t="s">
        <v>102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2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2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2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2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2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2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2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2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2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2">
        <v>0</v>
      </c>
    </row>
    <row r="24" spans="1:84">
      <c r="A24" s="19">
        <v>21</v>
      </c>
      <c r="B24" s="20" t="s">
        <v>178</v>
      </c>
      <c r="C24" s="20" t="s">
        <v>106</v>
      </c>
      <c r="D24" s="20" t="s">
        <v>96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2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2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2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2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2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0</v>
      </c>
      <c r="AY24" s="21">
        <v>0</v>
      </c>
      <c r="AZ24" s="22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H24" s="22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v>0</v>
      </c>
      <c r="BO24" s="21">
        <v>0</v>
      </c>
      <c r="BP24" s="22">
        <v>0</v>
      </c>
      <c r="BQ24" s="21">
        <v>0</v>
      </c>
      <c r="BR24" s="21">
        <v>0</v>
      </c>
      <c r="BS24" s="21">
        <v>0</v>
      </c>
      <c r="BT24" s="21">
        <v>0</v>
      </c>
      <c r="BU24" s="21">
        <v>0</v>
      </c>
      <c r="BV24" s="21">
        <v>0</v>
      </c>
      <c r="BW24" s="21">
        <v>0</v>
      </c>
      <c r="BX24" s="22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2">
        <v>0</v>
      </c>
    </row>
    <row r="25" spans="1:84">
      <c r="A25" s="23">
        <v>22</v>
      </c>
      <c r="B25" s="24" t="s">
        <v>179</v>
      </c>
      <c r="C25" s="24" t="s">
        <v>106</v>
      </c>
      <c r="D25" s="24" t="s">
        <v>98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2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2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2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2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2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0</v>
      </c>
      <c r="AY25" s="21">
        <v>0</v>
      </c>
      <c r="AZ25" s="22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2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2">
        <v>0</v>
      </c>
      <c r="BQ25" s="21">
        <v>0</v>
      </c>
      <c r="BR25" s="21">
        <v>0</v>
      </c>
      <c r="BS25" s="21">
        <v>0</v>
      </c>
      <c r="BT25" s="21">
        <v>0</v>
      </c>
      <c r="BU25" s="21">
        <v>0</v>
      </c>
      <c r="BV25" s="21">
        <v>0</v>
      </c>
      <c r="BW25" s="21">
        <v>0</v>
      </c>
      <c r="BX25" s="22">
        <v>0</v>
      </c>
      <c r="BY25" s="21">
        <v>0</v>
      </c>
      <c r="BZ25" s="21"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  <c r="CF25" s="22">
        <v>0</v>
      </c>
    </row>
    <row r="26" spans="1:84">
      <c r="A26" s="29">
        <v>23</v>
      </c>
      <c r="B26" s="26" t="s">
        <v>180</v>
      </c>
      <c r="C26" s="26" t="s">
        <v>106</v>
      </c>
      <c r="D26" s="26" t="s">
        <v>100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2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2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2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2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2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2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2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  <c r="BO26" s="21">
        <v>0</v>
      </c>
      <c r="BP26" s="22">
        <v>0</v>
      </c>
      <c r="BQ26" s="21">
        <v>0</v>
      </c>
      <c r="BR26" s="21">
        <v>0</v>
      </c>
      <c r="BS26" s="21">
        <v>0</v>
      </c>
      <c r="BT26" s="21">
        <v>0</v>
      </c>
      <c r="BU26" s="21">
        <v>0</v>
      </c>
      <c r="BV26" s="21">
        <v>0</v>
      </c>
      <c r="BW26" s="21">
        <v>0</v>
      </c>
      <c r="BX26" s="22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2">
        <v>0</v>
      </c>
    </row>
    <row r="27" spans="1:84">
      <c r="A27" s="27">
        <v>24</v>
      </c>
      <c r="B27" s="28" t="s">
        <v>181</v>
      </c>
      <c r="C27" s="28" t="s">
        <v>106</v>
      </c>
      <c r="D27" s="28" t="s">
        <v>102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2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2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2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2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2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2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2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2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2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2">
        <v>0</v>
      </c>
    </row>
    <row r="28" spans="1:84">
      <c r="A28" s="27">
        <v>25</v>
      </c>
      <c r="B28" s="28" t="s">
        <v>182</v>
      </c>
      <c r="C28" s="28" t="s">
        <v>106</v>
      </c>
      <c r="D28" s="28" t="s">
        <v>102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2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2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2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2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2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2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2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  <c r="BO28" s="21">
        <v>0</v>
      </c>
      <c r="BP28" s="22">
        <v>0</v>
      </c>
      <c r="BQ28" s="21">
        <v>0</v>
      </c>
      <c r="BR28" s="21">
        <v>0</v>
      </c>
      <c r="BS28" s="21">
        <v>0</v>
      </c>
      <c r="BT28" s="21">
        <v>0</v>
      </c>
      <c r="BU28" s="21">
        <v>0</v>
      </c>
      <c r="BV28" s="21">
        <v>0</v>
      </c>
      <c r="BW28" s="21">
        <v>0</v>
      </c>
      <c r="BX28" s="22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2">
        <v>0</v>
      </c>
    </row>
    <row r="29" spans="1:84">
      <c r="A29" s="29">
        <v>26</v>
      </c>
      <c r="B29" s="30" t="s">
        <v>183</v>
      </c>
      <c r="C29" s="26" t="s">
        <v>106</v>
      </c>
      <c r="D29" s="26" t="s">
        <v>100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2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2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2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2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2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2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2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2">
        <v>0</v>
      </c>
      <c r="BQ29" s="21">
        <v>0</v>
      </c>
      <c r="BR29" s="21">
        <v>0</v>
      </c>
      <c r="BS29" s="21">
        <v>0</v>
      </c>
      <c r="BT29" s="21">
        <v>0</v>
      </c>
      <c r="BU29" s="21">
        <v>0</v>
      </c>
      <c r="BV29" s="21">
        <v>0</v>
      </c>
      <c r="BW29" s="21">
        <v>0</v>
      </c>
      <c r="BX29" s="22">
        <v>0</v>
      </c>
      <c r="BY29" s="21">
        <v>0</v>
      </c>
      <c r="BZ29" s="21">
        <v>0</v>
      </c>
      <c r="CA29" s="21">
        <v>0</v>
      </c>
      <c r="CB29" s="21">
        <v>0</v>
      </c>
      <c r="CC29" s="21">
        <v>0</v>
      </c>
      <c r="CD29" s="21">
        <v>0</v>
      </c>
      <c r="CE29" s="21">
        <v>0</v>
      </c>
      <c r="CF29" s="22">
        <v>0</v>
      </c>
    </row>
    <row r="30" spans="1:84">
      <c r="A30" s="31">
        <v>27</v>
      </c>
      <c r="B30" s="32" t="s">
        <v>184</v>
      </c>
      <c r="C30" s="32" t="s">
        <v>106</v>
      </c>
      <c r="D30" s="32" t="s">
        <v>96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2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2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2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2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2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2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2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2">
        <v>0</v>
      </c>
      <c r="BQ30" s="21">
        <v>0</v>
      </c>
      <c r="BR30" s="21">
        <v>0</v>
      </c>
      <c r="BS30" s="21">
        <v>0</v>
      </c>
      <c r="BT30" s="21">
        <v>0</v>
      </c>
      <c r="BU30" s="21">
        <v>0</v>
      </c>
      <c r="BV30" s="21">
        <v>0</v>
      </c>
      <c r="BW30" s="21">
        <v>0</v>
      </c>
      <c r="BX30" s="22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2">
        <v>0</v>
      </c>
    </row>
  </sheetData>
  <mergeCells count="30">
    <mergeCell ref="BA2:BD2"/>
    <mergeCell ref="BE2:BG2"/>
    <mergeCell ref="BI2:BL2"/>
    <mergeCell ref="BM2:BO2"/>
    <mergeCell ref="BY2:CB2"/>
    <mergeCell ref="CC2:CE2"/>
    <mergeCell ref="BA1:BG1"/>
    <mergeCell ref="BI1:BO1"/>
    <mergeCell ref="BQ1:BW1"/>
    <mergeCell ref="BY1:CE1"/>
    <mergeCell ref="E1:K1"/>
    <mergeCell ref="M1:S1"/>
    <mergeCell ref="U1:AA1"/>
    <mergeCell ref="AC1:AI1"/>
    <mergeCell ref="U2:X2"/>
    <mergeCell ref="Y2:AA2"/>
    <mergeCell ref="AC2:AF2"/>
    <mergeCell ref="AG2:AI2"/>
    <mergeCell ref="BQ2:BT2"/>
    <mergeCell ref="BU2:BW2"/>
    <mergeCell ref="AK1:AQ1"/>
    <mergeCell ref="AK2:AN2"/>
    <mergeCell ref="AO2:AQ2"/>
    <mergeCell ref="AS1:AY1"/>
    <mergeCell ref="AS2:AV2"/>
    <mergeCell ref="AW2:AY2"/>
    <mergeCell ref="E2:H2"/>
    <mergeCell ref="I2:K2"/>
    <mergeCell ref="M2:P2"/>
    <mergeCell ref="Q2:S2"/>
  </mergeCells>
  <dataValidations>
    <dataValidation type="whole" errorStyle="stop" allowBlank="true" showDropDown="false" showInputMessage="true" showErrorMessage="true" prompt="" sqref="E4:E30">
      <formula1/>
      <formula2/>
    </dataValidation>
    <dataValidation type="whole" errorStyle="stop" allowBlank="true" showDropDown="false" showInputMessage="true" showErrorMessage="true" prompt="" sqref="F4:F30">
      <formula1/>
      <formula2/>
    </dataValidation>
    <dataValidation type="whole" errorStyle="stop" allowBlank="true" showDropDown="false" showInputMessage="true" showErrorMessage="true" prompt="" sqref="G4:G30">
      <formula1/>
      <formula2/>
    </dataValidation>
    <dataValidation type="whole" errorStyle="stop" allowBlank="true" showDropDown="false" showInputMessage="true" showErrorMessage="true" prompt="" sqref="H4:H30">
      <formula1/>
      <formula2/>
    </dataValidation>
    <dataValidation type="whole" errorStyle="stop" allowBlank="true" showDropDown="false" showInputMessage="true" showErrorMessage="true" prompt="" sqref="I4:I30">
      <formula1/>
      <formula2/>
    </dataValidation>
    <dataValidation type="whole" errorStyle="stop" allowBlank="true" showDropDown="false" showInputMessage="true" showErrorMessage="true" prompt="" sqref="J4:J30">
      <formula1/>
      <formula2/>
    </dataValidation>
    <dataValidation type="whole" errorStyle="stop" allowBlank="true" showDropDown="false" showInputMessage="true" showErrorMessage="true" prompt="" sqref="K4:K30">
      <formula1/>
      <formula2/>
    </dataValidation>
    <dataValidation type="whole" errorStyle="stop" allowBlank="true" showDropDown="false" showInputMessage="true" showErrorMessage="true" prompt="" sqref="L4:L30">
      <formula1/>
      <formula2/>
    </dataValidation>
    <dataValidation type="whole" errorStyle="stop" allowBlank="true" showDropDown="false" showInputMessage="true" showErrorMessage="true" prompt="" sqref="M4:M30">
      <formula1/>
      <formula2/>
    </dataValidation>
    <dataValidation type="whole" errorStyle="stop" allowBlank="true" showDropDown="false" showInputMessage="true" showErrorMessage="true" prompt="" sqref="N4:N30">
      <formula1/>
      <formula2/>
    </dataValidation>
    <dataValidation type="whole" errorStyle="stop" allowBlank="true" showDropDown="false" showInputMessage="true" showErrorMessage="true" prompt="" sqref="O4:O30">
      <formula1/>
      <formula2/>
    </dataValidation>
    <dataValidation type="whole" errorStyle="stop" allowBlank="true" showDropDown="false" showInputMessage="true" showErrorMessage="true" prompt="" sqref="P4:P30">
      <formula1/>
      <formula2/>
    </dataValidation>
    <dataValidation type="whole" errorStyle="stop" allowBlank="true" showDropDown="false" showInputMessage="true" showErrorMessage="true" prompt="" sqref="Q4:Q30">
      <formula1/>
      <formula2/>
    </dataValidation>
    <dataValidation type="whole" errorStyle="stop" allowBlank="true" showDropDown="false" showInputMessage="true" showErrorMessage="true" prompt="" sqref="R4:R30">
      <formula1/>
      <formula2/>
    </dataValidation>
    <dataValidation type="whole" errorStyle="stop" allowBlank="true" showDropDown="false" showInputMessage="true" showErrorMessage="true" prompt="" sqref="S4:S30">
      <formula1/>
      <formula2/>
    </dataValidation>
    <dataValidation type="whole" errorStyle="stop" allowBlank="true" showDropDown="false" showInputMessage="true" showErrorMessage="true" prompt="" sqref="T4:T30">
      <formula1/>
      <formula2/>
    </dataValidation>
    <dataValidation type="whole" errorStyle="stop" allowBlank="true" showDropDown="false" showInputMessage="true" showErrorMessage="true" prompt="" sqref="U4:U30">
      <formula1/>
      <formula2/>
    </dataValidation>
    <dataValidation type="whole" errorStyle="stop" allowBlank="true" showDropDown="false" showInputMessage="true" showErrorMessage="true" prompt="" sqref="V4:V30">
      <formula1/>
      <formula2/>
    </dataValidation>
    <dataValidation type="whole" errorStyle="stop" allowBlank="true" showDropDown="false" showInputMessage="true" showErrorMessage="true" prompt="" sqref="W4:W30">
      <formula1/>
      <formula2/>
    </dataValidation>
    <dataValidation type="whole" errorStyle="stop" allowBlank="true" showDropDown="false" showInputMessage="true" showErrorMessage="true" prompt="" sqref="X4:X30">
      <formula1/>
      <formula2/>
    </dataValidation>
    <dataValidation type="whole" errorStyle="stop" allowBlank="true" showDropDown="false" showInputMessage="true" showErrorMessage="true" prompt="" sqref="Y4:Y30">
      <formula1/>
      <formula2/>
    </dataValidation>
    <dataValidation type="whole" errorStyle="stop" allowBlank="true" showDropDown="false" showInputMessage="true" showErrorMessage="true" prompt="" sqref="Z4:Z30">
      <formula1/>
      <formula2/>
    </dataValidation>
    <dataValidation type="whole" errorStyle="stop" allowBlank="true" showDropDown="false" showInputMessage="true" showErrorMessage="true" prompt="" sqref="AA4:AA30">
      <formula1/>
      <formula2/>
    </dataValidation>
    <dataValidation type="whole" errorStyle="stop" allowBlank="true" showDropDown="false" showInputMessage="true" showErrorMessage="true" prompt="" sqref="AB4:AB30">
      <formula1/>
      <formula2/>
    </dataValidation>
    <dataValidation type="whole" errorStyle="stop" allowBlank="true" showDropDown="false" showInputMessage="true" showErrorMessage="true" prompt="" sqref="AC4:AC30">
      <formula1/>
      <formula2/>
    </dataValidation>
    <dataValidation type="whole" errorStyle="stop" allowBlank="true" showDropDown="false" showInputMessage="true" showErrorMessage="true" prompt="" sqref="AD4:AD30">
      <formula1/>
      <formula2/>
    </dataValidation>
    <dataValidation type="whole" errorStyle="stop" allowBlank="true" showDropDown="false" showInputMessage="true" showErrorMessage="true" prompt="" sqref="AE4:AE30">
      <formula1/>
      <formula2/>
    </dataValidation>
    <dataValidation type="whole" errorStyle="stop" allowBlank="true" showDropDown="false" showInputMessage="true" showErrorMessage="true" prompt="" sqref="AF4:AF30">
      <formula1/>
      <formula2/>
    </dataValidation>
    <dataValidation type="whole" errorStyle="stop" allowBlank="true" showDropDown="false" showInputMessage="true" showErrorMessage="true" prompt="" sqref="AG4:AG30">
      <formula1/>
      <formula2/>
    </dataValidation>
    <dataValidation type="whole" errorStyle="stop" allowBlank="true" showDropDown="false" showInputMessage="true" showErrorMessage="true" prompt="" sqref="AH4:AH30">
      <formula1/>
      <formula2/>
    </dataValidation>
    <dataValidation type="whole" errorStyle="stop" allowBlank="true" showDropDown="false" showInputMessage="true" showErrorMessage="true" prompt="" sqref="AI4:AI30">
      <formula1/>
      <formula2/>
    </dataValidation>
    <dataValidation type="whole" errorStyle="stop" allowBlank="true" showDropDown="false" showInputMessage="true" showErrorMessage="true" prompt="" sqref="AJ4:AJ30">
      <formula1/>
      <formula2/>
    </dataValidation>
    <dataValidation type="whole" errorStyle="stop" allowBlank="true" showDropDown="false" showInputMessage="true" showErrorMessage="true" prompt="" sqref="AK4:AK30">
      <formula1/>
      <formula2/>
    </dataValidation>
    <dataValidation type="whole" errorStyle="stop" allowBlank="true" showDropDown="false" showInputMessage="true" showErrorMessage="true" prompt="" sqref="AL4:AL30">
      <formula1/>
      <formula2/>
    </dataValidation>
    <dataValidation type="whole" errorStyle="stop" allowBlank="true" showDropDown="false" showInputMessage="true" showErrorMessage="true" prompt="" sqref="AM4:AM30">
      <formula1/>
      <formula2/>
    </dataValidation>
    <dataValidation type="whole" errorStyle="stop" allowBlank="true" showDropDown="false" showInputMessage="true" showErrorMessage="true" prompt="" sqref="AN4:AN30">
      <formula1/>
      <formula2/>
    </dataValidation>
    <dataValidation type="whole" errorStyle="stop" allowBlank="true" showDropDown="false" showInputMessage="true" showErrorMessage="true" prompt="" sqref="AO4:AO30">
      <formula1/>
      <formula2/>
    </dataValidation>
    <dataValidation type="whole" errorStyle="stop" allowBlank="true" showDropDown="false" showInputMessage="true" showErrorMessage="true" prompt="" sqref="AP4:AP30">
      <formula1/>
      <formula2/>
    </dataValidation>
    <dataValidation type="whole" errorStyle="stop" allowBlank="true" showDropDown="false" showInputMessage="true" showErrorMessage="true" prompt="" sqref="AQ4:AQ30">
      <formula1/>
      <formula2/>
    </dataValidation>
    <dataValidation type="whole" errorStyle="stop" allowBlank="true" showDropDown="false" showInputMessage="true" showErrorMessage="true" prompt="" sqref="AR4:AR30">
      <formula1/>
      <formula2/>
    </dataValidation>
    <dataValidation type="whole" errorStyle="stop" allowBlank="true" showDropDown="false" showInputMessage="true" showErrorMessage="true" prompt="" sqref="AS4:AS30">
      <formula1/>
      <formula2/>
    </dataValidation>
    <dataValidation type="whole" errorStyle="stop" allowBlank="true" showDropDown="false" showInputMessage="true" showErrorMessage="true" prompt="" sqref="AT4:AT30">
      <formula1/>
      <formula2/>
    </dataValidation>
    <dataValidation type="whole" errorStyle="stop" allowBlank="true" showDropDown="false" showInputMessage="true" showErrorMessage="true" prompt="" sqref="AU4:AU30">
      <formula1/>
      <formula2/>
    </dataValidation>
    <dataValidation type="whole" errorStyle="stop" allowBlank="true" showDropDown="false" showInputMessage="true" showErrorMessage="true" prompt="" sqref="AV4:AV30">
      <formula1/>
      <formula2/>
    </dataValidation>
    <dataValidation type="whole" errorStyle="stop" allowBlank="true" showDropDown="false" showInputMessage="true" showErrorMessage="true" prompt="" sqref="AW4:AW30">
      <formula1/>
      <formula2/>
    </dataValidation>
    <dataValidation type="whole" errorStyle="stop" allowBlank="true" showDropDown="false" showInputMessage="true" showErrorMessage="true" prompt="" sqref="AX4:AX30">
      <formula1/>
      <formula2/>
    </dataValidation>
    <dataValidation type="whole" errorStyle="stop" allowBlank="true" showDropDown="false" showInputMessage="true" showErrorMessage="true" prompt="" sqref="AY4:AY30">
      <formula1/>
      <formula2/>
    </dataValidation>
    <dataValidation type="whole" errorStyle="stop" allowBlank="true" showDropDown="false" showInputMessage="true" showErrorMessage="true" prompt="" sqref="AZ4:AZ30">
      <formula1/>
      <formula2/>
    </dataValidation>
    <dataValidation type="whole" errorStyle="stop" allowBlank="true" showDropDown="false" showInputMessage="true" showErrorMessage="true" prompt="" sqref="BA4:BA30">
      <formula1/>
      <formula2/>
    </dataValidation>
    <dataValidation type="whole" errorStyle="stop" allowBlank="true" showDropDown="false" showInputMessage="true" showErrorMessage="true" prompt="" sqref="BB4:BB30">
      <formula1/>
      <formula2/>
    </dataValidation>
    <dataValidation type="whole" errorStyle="stop" allowBlank="true" showDropDown="false" showInputMessage="true" showErrorMessage="true" prompt="" sqref="BC4:BC30">
      <formula1/>
      <formula2/>
    </dataValidation>
    <dataValidation type="whole" errorStyle="stop" allowBlank="true" showDropDown="false" showInputMessage="true" showErrorMessage="true" prompt="" sqref="BD4:BD30">
      <formula1/>
      <formula2/>
    </dataValidation>
    <dataValidation type="whole" errorStyle="stop" allowBlank="true" showDropDown="false" showInputMessage="true" showErrorMessage="true" prompt="" sqref="BE4:BE30">
      <formula1/>
      <formula2/>
    </dataValidation>
    <dataValidation type="whole" errorStyle="stop" allowBlank="true" showDropDown="false" showInputMessage="true" showErrorMessage="true" prompt="" sqref="BF4:BF30">
      <formula1/>
      <formula2/>
    </dataValidation>
    <dataValidation type="whole" errorStyle="stop" allowBlank="true" showDropDown="false" showInputMessage="true" showErrorMessage="true" prompt="" sqref="BG4:BG30">
      <formula1/>
      <formula2/>
    </dataValidation>
    <dataValidation type="whole" errorStyle="stop" allowBlank="true" showDropDown="false" showInputMessage="true" showErrorMessage="true" prompt="" sqref="BH4:BH30">
      <formula1/>
      <formula2/>
    </dataValidation>
    <dataValidation type="whole" errorStyle="stop" allowBlank="true" showDropDown="false" showInputMessage="true" showErrorMessage="true" prompt="" sqref="BI4:BI30">
      <formula1/>
      <formula2/>
    </dataValidation>
    <dataValidation type="whole" errorStyle="stop" allowBlank="true" showDropDown="false" showInputMessage="true" showErrorMessage="true" prompt="" sqref="BJ4:BJ30">
      <formula1/>
      <formula2/>
    </dataValidation>
    <dataValidation type="whole" errorStyle="stop" allowBlank="true" showDropDown="false" showInputMessage="true" showErrorMessage="true" prompt="" sqref="BK4:BK30">
      <formula1/>
      <formula2/>
    </dataValidation>
    <dataValidation type="whole" errorStyle="stop" allowBlank="true" showDropDown="false" showInputMessage="true" showErrorMessage="true" prompt="" sqref="BL4:BL30">
      <formula1/>
      <formula2/>
    </dataValidation>
    <dataValidation type="whole" errorStyle="stop" allowBlank="true" showDropDown="false" showInputMessage="true" showErrorMessage="true" prompt="" sqref="BM4:BM30">
      <formula1/>
      <formula2/>
    </dataValidation>
    <dataValidation type="whole" errorStyle="stop" allowBlank="true" showDropDown="false" showInputMessage="true" showErrorMessage="true" prompt="" sqref="BN4:BN30">
      <formula1/>
      <formula2/>
    </dataValidation>
    <dataValidation type="whole" errorStyle="stop" allowBlank="true" showDropDown="false" showInputMessage="true" showErrorMessage="true" prompt="" sqref="BO4:BO30">
      <formula1/>
      <formula2/>
    </dataValidation>
    <dataValidation type="whole" errorStyle="stop" allowBlank="true" showDropDown="false" showInputMessage="true" showErrorMessage="true" prompt="" sqref="BP4:BP30">
      <formula1/>
      <formula2/>
    </dataValidation>
    <dataValidation type="whole" errorStyle="stop" allowBlank="true" showDropDown="false" showInputMessage="true" showErrorMessage="true" prompt="" sqref="BQ4:BQ30">
      <formula1/>
      <formula2/>
    </dataValidation>
    <dataValidation type="whole" errorStyle="stop" allowBlank="true" showDropDown="false" showInputMessage="true" showErrorMessage="true" prompt="" sqref="BR4:BR30">
      <formula1/>
      <formula2/>
    </dataValidation>
    <dataValidation type="whole" errorStyle="stop" allowBlank="true" showDropDown="false" showInputMessage="true" showErrorMessage="true" prompt="" sqref="BS4:BS30">
      <formula1/>
      <formula2/>
    </dataValidation>
    <dataValidation type="whole" errorStyle="stop" allowBlank="true" showDropDown="false" showInputMessage="true" showErrorMessage="true" prompt="" sqref="BT4:BT30">
      <formula1/>
      <formula2/>
    </dataValidation>
    <dataValidation type="whole" errorStyle="stop" allowBlank="true" showDropDown="false" showInputMessage="true" showErrorMessage="true" prompt="" sqref="BU4:BU30">
      <formula1/>
      <formula2/>
    </dataValidation>
    <dataValidation type="whole" errorStyle="stop" allowBlank="true" showDropDown="false" showInputMessage="true" showErrorMessage="true" prompt="" sqref="BV4:BV30">
      <formula1/>
      <formula2/>
    </dataValidation>
    <dataValidation type="whole" errorStyle="stop" allowBlank="true" showDropDown="false" showInputMessage="true" showErrorMessage="true" prompt="" sqref="BW4:BW30">
      <formula1/>
      <formula2/>
    </dataValidation>
    <dataValidation type="whole" errorStyle="stop" allowBlank="true" showDropDown="false" showInputMessage="true" showErrorMessage="true" prompt="" sqref="BX4:BX30">
      <formula1/>
      <formula2/>
    </dataValidation>
    <dataValidation type="whole" errorStyle="stop" allowBlank="true" showDropDown="false" showInputMessage="true" showErrorMessage="true" prompt="" sqref="BY4:BY30">
      <formula1/>
      <formula2/>
    </dataValidation>
    <dataValidation type="whole" errorStyle="stop" allowBlank="true" showDropDown="false" showInputMessage="true" showErrorMessage="true" prompt="" sqref="BZ4:BZ30">
      <formula1/>
      <formula2/>
    </dataValidation>
    <dataValidation type="whole" errorStyle="stop" allowBlank="true" showDropDown="false" showInputMessage="true" showErrorMessage="true" prompt="" sqref="CA4:CA30">
      <formula1/>
      <formula2/>
    </dataValidation>
    <dataValidation type="whole" errorStyle="stop" allowBlank="true" showDropDown="false" showInputMessage="true" showErrorMessage="true" prompt="" sqref="CB4:CB30">
      <formula1/>
      <formula2/>
    </dataValidation>
    <dataValidation type="whole" errorStyle="stop" allowBlank="true" showDropDown="false" showInputMessage="true" showErrorMessage="true" prompt="" sqref="CC4:CC30">
      <formula1/>
      <formula2/>
    </dataValidation>
    <dataValidation type="whole" errorStyle="stop" allowBlank="true" showDropDown="false" showInputMessage="true" showErrorMessage="true" prompt="" sqref="CD4:CD30">
      <formula1/>
      <formula2/>
    </dataValidation>
    <dataValidation type="whole" errorStyle="stop" allowBlank="true" showDropDown="false" showInputMessage="true" showErrorMessage="true" prompt="" sqref="CE4:CE30">
      <formula1/>
      <formula2/>
    </dataValidation>
    <dataValidation type="whole" errorStyle="stop" allowBlank="true" showDropDown="false" showInputMessage="true" showErrorMessage="true" prompt="" sqref="CF4:CF30">
      <formula1/>
      <formula2/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2025-07-11T15:07:22Z</dcterms:created>
  <dcterms:modified xsi:type="dcterms:W3CDTF">2025-07-11T15:07:22Z</dcterms:modified>
</cp:coreProperties>
</file>